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e.ghorbani/Library/CloudStorage/OneDrive-DeakinUniversity/Documents/Deakin/* My docs/Mg Mendeley/"/>
    </mc:Choice>
  </mc:AlternateContent>
  <xr:revisionPtr revIDLastSave="0" documentId="13_ncr:1_{51650DC0-9275-8E43-A88F-11E745E1DDE2}" xr6:coauthVersionLast="47" xr6:coauthVersionMax="47" xr10:uidLastSave="{00000000-0000-0000-0000-000000000000}"/>
  <bookViews>
    <workbookView xWindow="1740" yWindow="820" windowWidth="25280" windowHeight="14960" xr2:uid="{E6746120-1AFB-F043-88F2-A004EE263EB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2" l="1"/>
  <c r="C58" i="2"/>
  <c r="C59" i="2"/>
  <c r="C60" i="2"/>
  <c r="C61" i="2"/>
  <c r="C62" i="2"/>
  <c r="C63" i="2"/>
  <c r="C64" i="2"/>
  <c r="C65" i="2"/>
  <c r="C66" i="2"/>
  <c r="C67" i="2"/>
  <c r="C47" i="2"/>
  <c r="C48" i="2"/>
  <c r="C49" i="2"/>
  <c r="C50" i="2"/>
  <c r="C51" i="2"/>
  <c r="C52" i="2"/>
  <c r="C53" i="2"/>
  <c r="C54" i="2"/>
  <c r="C55" i="2"/>
  <c r="C56" i="2"/>
  <c r="C46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45" i="2"/>
  <c r="C272" i="2"/>
  <c r="C273" i="2"/>
  <c r="C274" i="2"/>
  <c r="C275" i="2"/>
  <c r="C276" i="2"/>
  <c r="C277" i="2"/>
  <c r="C278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49" i="2"/>
  <c r="C250" i="2"/>
  <c r="C251" i="2"/>
  <c r="C252" i="2"/>
  <c r="C253" i="2"/>
  <c r="C254" i="2"/>
  <c r="C255" i="2"/>
  <c r="C248" i="2"/>
  <c r="C104" i="2" l="1"/>
  <c r="C105" i="2"/>
  <c r="C106" i="2"/>
  <c r="C107" i="2"/>
  <c r="C96" i="2"/>
  <c r="C97" i="2"/>
  <c r="C98" i="2"/>
  <c r="C99" i="2"/>
  <c r="C100" i="2"/>
  <c r="C101" i="2"/>
  <c r="C102" i="2"/>
  <c r="C103" i="2"/>
  <c r="C95" i="2"/>
  <c r="C762" i="2" l="1"/>
  <c r="C763" i="2"/>
  <c r="C764" i="2"/>
  <c r="C761" i="2"/>
  <c r="C760" i="2"/>
  <c r="C741" i="2" l="1"/>
  <c r="C728" i="2"/>
  <c r="C724" i="2"/>
  <c r="C723" i="2"/>
  <c r="C721" i="2"/>
  <c r="C720" i="2"/>
  <c r="C719" i="2"/>
  <c r="C718" i="2"/>
  <c r="C717" i="2"/>
  <c r="C714" i="2"/>
  <c r="C711" i="2"/>
  <c r="C644" i="2"/>
  <c r="C643" i="2"/>
  <c r="C642" i="2"/>
  <c r="C641" i="2"/>
  <c r="C640" i="2"/>
  <c r="C639" i="2"/>
  <c r="C638" i="2"/>
  <c r="C637" i="2"/>
  <c r="C635" i="2"/>
  <c r="C634" i="2"/>
  <c r="C633" i="2"/>
  <c r="C631" i="2"/>
  <c r="C630" i="2"/>
  <c r="C626" i="2"/>
  <c r="C625" i="2"/>
  <c r="C624" i="2"/>
  <c r="C623" i="2"/>
  <c r="C58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1" i="2"/>
  <c r="C560" i="2"/>
  <c r="C559" i="2"/>
  <c r="C558" i="2"/>
  <c r="C557" i="2"/>
  <c r="C556" i="2"/>
  <c r="C555" i="2"/>
  <c r="C554" i="2"/>
  <c r="C553" i="2"/>
  <c r="C550" i="2"/>
  <c r="C549" i="2"/>
  <c r="C548" i="2"/>
  <c r="C547" i="2"/>
  <c r="C546" i="2"/>
  <c r="C519" i="2"/>
  <c r="C518" i="2"/>
  <c r="C331" i="2"/>
  <c r="C330" i="2"/>
  <c r="C329" i="2"/>
  <c r="C328" i="2"/>
  <c r="C327" i="2"/>
  <c r="C326" i="2"/>
  <c r="C325" i="2"/>
  <c r="C324" i="2"/>
  <c r="C323" i="2"/>
  <c r="C322" i="2"/>
  <c r="C321" i="2"/>
  <c r="C319" i="2"/>
  <c r="C318" i="2"/>
  <c r="C317" i="2"/>
  <c r="C316" i="2"/>
  <c r="C315" i="2"/>
  <c r="C314" i="2"/>
  <c r="C313" i="2"/>
  <c r="C312" i="2"/>
  <c r="C311" i="2"/>
  <c r="C30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</calcChain>
</file>

<file path=xl/sharedStrings.xml><?xml version="1.0" encoding="utf-8"?>
<sst xmlns="http://schemas.openxmlformats.org/spreadsheetml/2006/main" count="1868" uniqueCount="781">
  <si>
    <t>Name</t>
  </si>
  <si>
    <t>Mg</t>
  </si>
  <si>
    <t>Nd</t>
  </si>
  <si>
    <t>Ce</t>
  </si>
  <si>
    <t>La</t>
  </si>
  <si>
    <t>Zn</t>
  </si>
  <si>
    <t>Sn</t>
  </si>
  <si>
    <t>Al</t>
  </si>
  <si>
    <t>Ca</t>
  </si>
  <si>
    <t>Zr</t>
  </si>
  <si>
    <t>Ag</t>
  </si>
  <si>
    <t>Ho</t>
  </si>
  <si>
    <t>Mn</t>
  </si>
  <si>
    <t>Y</t>
  </si>
  <si>
    <t>Gd</t>
  </si>
  <si>
    <t>Cu</t>
  </si>
  <si>
    <t>Si</t>
  </si>
  <si>
    <t>Li</t>
  </si>
  <si>
    <t>Yb</t>
  </si>
  <si>
    <t>Th</t>
  </si>
  <si>
    <t>Sb</t>
  </si>
  <si>
    <t>Pr</t>
  </si>
  <si>
    <t>Ga</t>
  </si>
  <si>
    <t>Be</t>
  </si>
  <si>
    <t>Fe</t>
  </si>
  <si>
    <t>Ni</t>
  </si>
  <si>
    <t>Sc</t>
  </si>
  <si>
    <t>Tb</t>
  </si>
  <si>
    <t>Dy</t>
  </si>
  <si>
    <t>Er</t>
  </si>
  <si>
    <t>Sr</t>
  </si>
  <si>
    <t>Bi</t>
  </si>
  <si>
    <t>Ductility</t>
  </si>
  <si>
    <t xml:space="preserve">Mg-15Sc-1Mn </t>
  </si>
  <si>
    <t>Mg-20Gd</t>
  </si>
  <si>
    <t>Mg-Gd-Y-Zn-Zr (5)</t>
  </si>
  <si>
    <t>Mg-Y-Gd-Zr(3)</t>
  </si>
  <si>
    <t>Mg-Al-Zn-Mn-Bi</t>
  </si>
  <si>
    <t>Mg-8Al-5Ga-3Zn</t>
  </si>
  <si>
    <t>Mg-8Al-2Ga-Zn</t>
  </si>
  <si>
    <t>Mg-9Al-2Ga</t>
  </si>
  <si>
    <t>Mg-8Al-3Ga</t>
  </si>
  <si>
    <t>Mg-8Al-2Ga</t>
  </si>
  <si>
    <t>Mg-Zn-Ho</t>
  </si>
  <si>
    <t>Mg-20Tb</t>
  </si>
  <si>
    <t>ZYbK520 (1)</t>
  </si>
  <si>
    <t>ZYbK520 (2)</t>
  </si>
  <si>
    <t>ZYbK520 (3)</t>
  </si>
  <si>
    <t>ZYbK520 (4)</t>
  </si>
  <si>
    <t>ZYbK520 (5)</t>
  </si>
  <si>
    <t>ZYbK520 (6)</t>
  </si>
  <si>
    <t>Mg-Nd-Zn-Zr</t>
  </si>
  <si>
    <t>Mg-Gd-Zr</t>
  </si>
  <si>
    <t>Mg-Zn-Er</t>
  </si>
  <si>
    <t>HK31</t>
  </si>
  <si>
    <t>HZ32</t>
  </si>
  <si>
    <t>Magnesium ZH62A-T5</t>
  </si>
  <si>
    <t>Magnesium HK31A-H24</t>
  </si>
  <si>
    <t>Magnesium HK31A-O</t>
  </si>
  <si>
    <t>Magnesium HK31A-T6</t>
  </si>
  <si>
    <t>Magnesium HM31A-F</t>
  </si>
  <si>
    <t>Magnesium HM31A-T5</t>
  </si>
  <si>
    <t>QH21</t>
  </si>
  <si>
    <t>Magnesium HM31A O Wrought Alloy (UNS M13312)</t>
  </si>
  <si>
    <t>WE43</t>
  </si>
  <si>
    <t>HM21</t>
  </si>
  <si>
    <t>Magnesium HZ32A-T5</t>
  </si>
  <si>
    <t>Magnesium QH21A-T6</t>
  </si>
  <si>
    <t>HZ11</t>
  </si>
  <si>
    <t>Magnesium HM21A-F</t>
  </si>
  <si>
    <t>Magnesium HM21A-T5</t>
  </si>
  <si>
    <t>Magnesium HM21A-T8</t>
  </si>
  <si>
    <t>Magnesium HM21A-T81</t>
  </si>
  <si>
    <t xml:space="preserve">HP2/231 </t>
  </si>
  <si>
    <t xml:space="preserve">HP2/228 </t>
  </si>
  <si>
    <t xml:space="preserve">HP2/226 </t>
  </si>
  <si>
    <t xml:space="preserve">HP2/261 </t>
  </si>
  <si>
    <t xml:space="preserve">HP2/224 </t>
  </si>
  <si>
    <t xml:space="preserve">HP2/222 </t>
  </si>
  <si>
    <t xml:space="preserve">HP2/263 </t>
  </si>
  <si>
    <t xml:space="preserve">HP2/247 </t>
  </si>
  <si>
    <t xml:space="preserve">HP2/230 </t>
  </si>
  <si>
    <t>HP2/251</t>
  </si>
  <si>
    <t>HP2/250</t>
  </si>
  <si>
    <t xml:space="preserve">HP2/241 </t>
  </si>
  <si>
    <t xml:space="preserve">HP2/246 </t>
  </si>
  <si>
    <t xml:space="preserve">HP2/223 </t>
  </si>
  <si>
    <t xml:space="preserve">HP2/239 </t>
  </si>
  <si>
    <t xml:space="preserve">HP2/227 </t>
  </si>
  <si>
    <t xml:space="preserve">HP2/259 </t>
  </si>
  <si>
    <t xml:space="preserve">HP2/258 </t>
  </si>
  <si>
    <t xml:space="preserve">HP2/255 </t>
  </si>
  <si>
    <t xml:space="preserve">HP2/256 </t>
  </si>
  <si>
    <t xml:space="preserve">HP2/229 </t>
  </si>
  <si>
    <t>HP2/253</t>
  </si>
  <si>
    <t>HP2/252</t>
  </si>
  <si>
    <t>HP2/249</t>
  </si>
  <si>
    <t xml:space="preserve">HP2/243 </t>
  </si>
  <si>
    <t xml:space="preserve">HP2/245 </t>
  </si>
  <si>
    <t xml:space="preserve">HP2/225 </t>
  </si>
  <si>
    <t xml:space="preserve">HP2/260 </t>
  </si>
  <si>
    <t xml:space="preserve">HP2/262 </t>
  </si>
  <si>
    <t xml:space="preserve">HP2/240 </t>
  </si>
  <si>
    <t xml:space="preserve">HP2/254 </t>
  </si>
  <si>
    <t>HP2/248</t>
  </si>
  <si>
    <t xml:space="preserve">HP2/244 </t>
  </si>
  <si>
    <t xml:space="preserve">HP2/242 </t>
  </si>
  <si>
    <t xml:space="preserve">HP2/257 </t>
  </si>
  <si>
    <t>Mg-Al-Zn-Mn-Bi-Sb</t>
  </si>
  <si>
    <t>Mg-9Al-0.8Zn-0.2Mn-1.0Sb</t>
  </si>
  <si>
    <t>Mg-Al-Zn-Mn-Sb</t>
  </si>
  <si>
    <t>AZ91</t>
  </si>
  <si>
    <t>Mg-9Al-0.8Zn-0.2Mn-0.7Sb</t>
  </si>
  <si>
    <t>Mg-9Al-0.8Zn-0.2Mn-0.35Sb</t>
  </si>
  <si>
    <t>Mg-9Al-0.8Zn-0.2Mn-0.15Sb</t>
  </si>
  <si>
    <t>Mg-20Al-15Ca</t>
  </si>
  <si>
    <t>Mg-6Al-3RE</t>
  </si>
  <si>
    <t>Mg-6Al-2RE</t>
  </si>
  <si>
    <t>AZ91D</t>
  </si>
  <si>
    <t>Mg-0.2Ce</t>
  </si>
  <si>
    <t>AM50HP</t>
  </si>
  <si>
    <t>Magnesium ZK21A-F</t>
  </si>
  <si>
    <t>AM20HP</t>
  </si>
  <si>
    <t>AZ91-1RE</t>
  </si>
  <si>
    <t>Magnesium WE54A-T6</t>
  </si>
  <si>
    <t>Magnesium WE43-T6</t>
  </si>
  <si>
    <t>Magnesium AM50A-F</t>
  </si>
  <si>
    <t>Mg-Zn-Y(3)</t>
  </si>
  <si>
    <t>ML19</t>
  </si>
  <si>
    <t>AZ91RS</t>
  </si>
  <si>
    <t>Magnesium WE43A-T6</t>
  </si>
  <si>
    <t>Magnesium AZ63 T1 Cast Alloy (UNS M11630)</t>
  </si>
  <si>
    <t>Magnesium AZ31B</t>
  </si>
  <si>
    <t>Magnesium AZ31B-F</t>
  </si>
  <si>
    <t>Magnesium AZ31B-H24</t>
  </si>
  <si>
    <t>Magnesium AZ31B-H26</t>
  </si>
  <si>
    <t>Magnesium AZ31B-O</t>
  </si>
  <si>
    <t>Magnesium AS41A-F</t>
  </si>
  <si>
    <t>Magnesium EQ21-T6</t>
  </si>
  <si>
    <t>Magnesium ZC-63A-T6</t>
  </si>
  <si>
    <t>Magnesium ZC63-T6</t>
  </si>
  <si>
    <t>Magnesium AS41B-F</t>
  </si>
  <si>
    <t>Magnesium M1A Forgings</t>
  </si>
  <si>
    <t>Magnesium M1A Sheet</t>
  </si>
  <si>
    <t>Magnesium M1A-F</t>
  </si>
  <si>
    <t>Magnesium M1A-F Sheet</t>
  </si>
  <si>
    <t>Magnesium AZ63A-F</t>
  </si>
  <si>
    <t>Magnesium AZ63A-T4</t>
  </si>
  <si>
    <t>Magnesium AZ63A-T5</t>
  </si>
  <si>
    <t>Magnesium AZ63A-T6</t>
  </si>
  <si>
    <t>Magnesium AZ63A-T7</t>
  </si>
  <si>
    <t>Magnesium ZE41A-T5</t>
  </si>
  <si>
    <t>AZ81</t>
  </si>
  <si>
    <t>ZKCa50</t>
  </si>
  <si>
    <t>AZ63A-T4 Magnesium</t>
  </si>
  <si>
    <t>Mg-Ca-Zn(1)</t>
  </si>
  <si>
    <t>AZ80A-T6 Magnesium</t>
  </si>
  <si>
    <t>Magnesium AZ31C-F</t>
  </si>
  <si>
    <t>AZ63</t>
  </si>
  <si>
    <t>ML10</t>
  </si>
  <si>
    <t>P/M Mg-5Y-6Re</t>
  </si>
  <si>
    <t>Solution treated Mg-4Y-3Re</t>
  </si>
  <si>
    <t>Peak aged Mg-4Y-3Re</t>
  </si>
  <si>
    <t>Extruded Mg-4Y-3Re</t>
  </si>
  <si>
    <t>AZ81A-T4 Magnesium</t>
  </si>
  <si>
    <t>TAZ7111(2)</t>
  </si>
  <si>
    <t>TAZ7111(3)</t>
  </si>
  <si>
    <t>ISO-WD21150-H24 Magnesium</t>
  </si>
  <si>
    <t>Magnesium AZ80A-F</t>
  </si>
  <si>
    <t>Magnesium AZ80A-T5</t>
  </si>
  <si>
    <t>Magnesium AZ80A-T6</t>
  </si>
  <si>
    <t>Magnesium LA141</t>
  </si>
  <si>
    <t>Magnesium ZE63A-T6</t>
  </si>
  <si>
    <t>Magnesium AZ10A-F</t>
  </si>
  <si>
    <t>Mg-Zn-Y-Zr(Alloy 1) (300 C)</t>
  </si>
  <si>
    <t>Magnesium Elektron Elektron® 43 Magnesium Wrought Alloy</t>
  </si>
  <si>
    <t>Magnesium AS41XB-F</t>
  </si>
  <si>
    <t>Magnesium AZ61A-F</t>
  </si>
  <si>
    <t>Magnesium AS41XA-F</t>
  </si>
  <si>
    <t>Magnesium EA65B-T6</t>
  </si>
  <si>
    <t>Magnesium EA65RS-T4</t>
  </si>
  <si>
    <t>Magnesium EA55B-T6</t>
  </si>
  <si>
    <t>Magnesium EA55RS-T4</t>
  </si>
  <si>
    <t>Magnesium LS141</t>
  </si>
  <si>
    <t>Magnesium K1A-F</t>
  </si>
  <si>
    <t>Mg-9Al-1Zn-5La</t>
  </si>
  <si>
    <t>WE54</t>
  </si>
  <si>
    <t>TX21 (1)</t>
  </si>
  <si>
    <t>TX21 (2)</t>
  </si>
  <si>
    <t>TX21 (3)</t>
  </si>
  <si>
    <t>TXZ212</t>
  </si>
  <si>
    <t>HM31</t>
  </si>
  <si>
    <t>Unreinforced AZ91</t>
  </si>
  <si>
    <t>Magnesium ZK60A-F</t>
  </si>
  <si>
    <t>Magnesium ZK60A-T5</t>
  </si>
  <si>
    <t>Magnesium ZK60A-T6</t>
  </si>
  <si>
    <t>Magnesium ZC71</t>
  </si>
  <si>
    <t>Magnesium ZC71-T5</t>
  </si>
  <si>
    <t>Magnesium ZC71-T6</t>
  </si>
  <si>
    <t>AZ91-3RE</t>
  </si>
  <si>
    <t>Mg-Zn-Tb</t>
  </si>
  <si>
    <t>Mg-Zn-Dy</t>
  </si>
  <si>
    <t>Magnesium AZ10A Wrought Alloy (UNS M11100)</t>
  </si>
  <si>
    <t>AZ31</t>
  </si>
  <si>
    <t>Magnesium ZK21A Wrought Alloy (UNS M16210)</t>
  </si>
  <si>
    <t>AZ80</t>
  </si>
  <si>
    <t>Magnesium ZK40A-T5</t>
  </si>
  <si>
    <t>Magnesium AZ92A-F</t>
  </si>
  <si>
    <t>Magnesium QE22A-T6</t>
  </si>
  <si>
    <t>Magnesium AZ92A-T4</t>
  </si>
  <si>
    <t>Magnesium AZ92A-T5</t>
  </si>
  <si>
    <t>Magnesium AZ92A-T6</t>
  </si>
  <si>
    <t>Magnesium AZ92A-T7</t>
  </si>
  <si>
    <t>Magnesium ZK51A-T5</t>
  </si>
  <si>
    <t>Magnesium AM100A-F</t>
  </si>
  <si>
    <t>Magnesium AM100A-T4</t>
  </si>
  <si>
    <t>Magnesium AM100A-T5</t>
  </si>
  <si>
    <t>Magnesium AM100A-T6</t>
  </si>
  <si>
    <t>Magnesium AM100A-T61</t>
  </si>
  <si>
    <t>Magnesium AM100A-T7</t>
  </si>
  <si>
    <t>Magnesium AZ81A-T4</t>
  </si>
  <si>
    <t>WE43A-T6 Magnesium</t>
  </si>
  <si>
    <t>Mg-Gd-Nd-Zn-Zr</t>
  </si>
  <si>
    <t>Magnesium Elektron Elektron® 43 Magnesium Extrusion Alloy</t>
  </si>
  <si>
    <t>Magnesium ZK61A-T5</t>
  </si>
  <si>
    <t>Magnesium ZK61A-T6</t>
  </si>
  <si>
    <t>AZ31(R 10)</t>
  </si>
  <si>
    <t>AZ31(R 100)</t>
  </si>
  <si>
    <t>Magnesium AZ91C-F</t>
  </si>
  <si>
    <t>Magnesium AZ91C-T4</t>
  </si>
  <si>
    <t>Magnesium AZ91C-T6</t>
  </si>
  <si>
    <t>AZ91C</t>
  </si>
  <si>
    <t>Mg-9Al-1Zn-5Nd</t>
  </si>
  <si>
    <t>Magnesium EZ33A-T5</t>
  </si>
  <si>
    <t>Magnesium AE42-F</t>
  </si>
  <si>
    <t>AE42</t>
  </si>
  <si>
    <t>WE43A-T5 Magnesium</t>
  </si>
  <si>
    <t>AZ91-2RE</t>
  </si>
  <si>
    <t>Magnesium WE54-T6</t>
  </si>
  <si>
    <t>Magnesium AZ91E-F</t>
  </si>
  <si>
    <t>Magnesium AZ91E-T4</t>
  </si>
  <si>
    <t>Magnesium AZ91E-T6</t>
  </si>
  <si>
    <t>WE54A</t>
  </si>
  <si>
    <t>Magnesium EQ-21A-T6</t>
  </si>
  <si>
    <t>Mg-3Al-0.2Ce</t>
  </si>
  <si>
    <t>Magnesium AM60B-F</t>
  </si>
  <si>
    <t>Magnesium AZ91A-F</t>
  </si>
  <si>
    <t>Magnesium AM60A-F</t>
  </si>
  <si>
    <t>AZ61</t>
  </si>
  <si>
    <t>Magnesium AZ91B-F</t>
  </si>
  <si>
    <t>Magnesium AZ91D-F</t>
  </si>
  <si>
    <t>Mg-6Al-1RE</t>
  </si>
  <si>
    <t>WE54A-T6 Magnesium</t>
  </si>
  <si>
    <t>WE54A-T5 Magnesium</t>
  </si>
  <si>
    <t>ISO-WD32350-O Magnesium</t>
  </si>
  <si>
    <t>ISO-WD32350-F Magnesium</t>
  </si>
  <si>
    <t>ISO-WD32350-H24 Magnesium</t>
  </si>
  <si>
    <t>ZK61A-T5 Magnesium</t>
  </si>
  <si>
    <t>ZK61A-T6 Magnesium</t>
  </si>
  <si>
    <t>EZ33</t>
  </si>
  <si>
    <t>Magnesium, Elektron ZW3, F</t>
  </si>
  <si>
    <t>ZK60</t>
  </si>
  <si>
    <t>YKN0</t>
  </si>
  <si>
    <t>ZA142</t>
  </si>
  <si>
    <t>Mg-9Al-10.7zn-0.15Mn-10vol%Sic (15um)</t>
  </si>
  <si>
    <t>Mg-9Al-10.7zn-0.15Mn-10vol%Sic (20um)</t>
  </si>
  <si>
    <t>Mg-9Al-10.7zn-0.15Mn-10vol%Sic (25um)</t>
  </si>
  <si>
    <t>Mg-9Al-10.7zn-0.15Mn-10vol%Sic (38um)</t>
  </si>
  <si>
    <t>Mg-9Al-10.7zn-0.15Mn-10vol%Sic (50um)</t>
  </si>
  <si>
    <t>ZA102</t>
  </si>
  <si>
    <t>Mg-Li-Zn-Y(2)</t>
  </si>
  <si>
    <t>ZM91</t>
  </si>
  <si>
    <t>ZA84-0.5RE</t>
  </si>
  <si>
    <t>ZA84-1.5RE</t>
  </si>
  <si>
    <t>ZA82</t>
  </si>
  <si>
    <t>Mg-Zn-Mn-Sn (3)</t>
  </si>
  <si>
    <t>HP2/37</t>
  </si>
  <si>
    <t>Z6(1)</t>
  </si>
  <si>
    <t>HP2/45</t>
  </si>
  <si>
    <t>HP2/58</t>
  </si>
  <si>
    <t>HP2/55</t>
  </si>
  <si>
    <t>HP2/76</t>
  </si>
  <si>
    <t>HP2/92</t>
  </si>
  <si>
    <t>HP2/68</t>
  </si>
  <si>
    <t>HP2/10</t>
  </si>
  <si>
    <t>HP2/6</t>
  </si>
  <si>
    <t>HP2/20</t>
  </si>
  <si>
    <t>Magnesium, AS41B, cast, F</t>
  </si>
  <si>
    <t xml:space="preserve">HP2/195 </t>
  </si>
  <si>
    <t xml:space="preserve">HP2/191 </t>
  </si>
  <si>
    <t>HP2/205</t>
  </si>
  <si>
    <t>HP2/199</t>
  </si>
  <si>
    <t>HP2/197</t>
  </si>
  <si>
    <t xml:space="preserve">HP2/189 </t>
  </si>
  <si>
    <t>HP2/196</t>
  </si>
  <si>
    <t>HP2/213</t>
  </si>
  <si>
    <t>HP2/212</t>
  </si>
  <si>
    <t>HP2/210</t>
  </si>
  <si>
    <t>HP2/203</t>
  </si>
  <si>
    <t>Mg-Mn-Ce (4)</t>
  </si>
  <si>
    <t>LA141</t>
  </si>
  <si>
    <t>ACa54</t>
  </si>
  <si>
    <t>Mg-Al-RE</t>
  </si>
  <si>
    <t>Mg-Y-Zr-Nd</t>
  </si>
  <si>
    <t>M1</t>
  </si>
  <si>
    <t>ZK61</t>
  </si>
  <si>
    <t>Magnesium, WE54A, cast</t>
  </si>
  <si>
    <t>Magnesium, WE54A, T6</t>
  </si>
  <si>
    <t>Magnesium, WE43B, cast, T6</t>
  </si>
  <si>
    <t>Magnesium, ZE41A, cast, T5</t>
  </si>
  <si>
    <t>Magnesium, QE22A, cast, T6</t>
  </si>
  <si>
    <t>Magnesium, EQ21A, cast</t>
  </si>
  <si>
    <t>ZE62(ZK61+2%RE)-So2</t>
  </si>
  <si>
    <t>ZE62(ZK61+2%RE) -H2</t>
  </si>
  <si>
    <t>ZK51</t>
  </si>
  <si>
    <t>ZE41</t>
  </si>
  <si>
    <t>Mg-Gd-Y-Zn-Zr (3)</t>
  </si>
  <si>
    <t>YKN3</t>
  </si>
  <si>
    <t>Mg-Gd-Y-Zn-Zr (2)</t>
  </si>
  <si>
    <t>QE22</t>
  </si>
  <si>
    <t>Mg-Zn-Ca-La</t>
  </si>
  <si>
    <t>YKN0.5</t>
  </si>
  <si>
    <t>ISO-WD32260-T6 Magnesium</t>
  </si>
  <si>
    <t>ISO-WD32260-F Magnesium</t>
  </si>
  <si>
    <t>ISO-WD32260-T5 Magnesium</t>
  </si>
  <si>
    <t>ISO-WD32250-T5 Magnesium</t>
  </si>
  <si>
    <t>ISO-WD32250-F Magnesium</t>
  </si>
  <si>
    <t>ZK30</t>
  </si>
  <si>
    <t>Magnesium ZK31-T5</t>
  </si>
  <si>
    <t>ZW3</t>
  </si>
  <si>
    <t>AM30</t>
  </si>
  <si>
    <t>ZKE602</t>
  </si>
  <si>
    <t>ZKE601</t>
  </si>
  <si>
    <t>ZKE600</t>
  </si>
  <si>
    <t>Mg-Gd-Y-Zr(1)</t>
  </si>
  <si>
    <t>Mg-Gd-Y-Zr(2)</t>
  </si>
  <si>
    <t>Mg-Gd-Ag-Zr</t>
  </si>
  <si>
    <t>Mg-Gd-Zr(1)</t>
  </si>
  <si>
    <t>Mg -Al-Cu-Zr</t>
  </si>
  <si>
    <t>Magnesium, ZK60A-F</t>
  </si>
  <si>
    <t>Magnesium, ZK60A-T5</t>
  </si>
  <si>
    <t>Mg-Zn-Y-Zr(Alloy 2) (300 C)</t>
  </si>
  <si>
    <t>Mg-Zn-Y-Zr(Alloy 3) (300 C)</t>
  </si>
  <si>
    <t>Mg-Y-RE-Zr</t>
  </si>
  <si>
    <t>Mg-Gd-Y-Zn-Zr</t>
  </si>
  <si>
    <t>ZA146</t>
  </si>
  <si>
    <t>ZA144</t>
  </si>
  <si>
    <t>ZA124</t>
  </si>
  <si>
    <t>ZA126</t>
  </si>
  <si>
    <t>ZA106</t>
  </si>
  <si>
    <t>ZA104</t>
  </si>
  <si>
    <t>ZA84-1RE</t>
  </si>
  <si>
    <t>ZA86</t>
  </si>
  <si>
    <t>ZM81</t>
  </si>
  <si>
    <t>ZA84</t>
  </si>
  <si>
    <t>ZM71</t>
  </si>
  <si>
    <t>ZMC711</t>
  </si>
  <si>
    <t>Magnesium, ZC71</t>
  </si>
  <si>
    <t>Mg-Li-Zn-Y(1)</t>
  </si>
  <si>
    <t>ZA62</t>
  </si>
  <si>
    <t>Mg-Zn-Mn-Sn (5)</t>
  </si>
  <si>
    <t>Mg-Zn-Mn-Sn (2)</t>
  </si>
  <si>
    <t>Magnesium, ZC63A, cast</t>
  </si>
  <si>
    <t>ZC63</t>
  </si>
  <si>
    <t>ZQ63</t>
  </si>
  <si>
    <t>ZQ62</t>
  </si>
  <si>
    <t>ZQ61</t>
  </si>
  <si>
    <t>Z6</t>
  </si>
  <si>
    <t>Magnesium, Z6</t>
  </si>
  <si>
    <t>Mg-Zn-Mn-Sn (1)</t>
  </si>
  <si>
    <t>Mg-Zn-Ca-Zr</t>
  </si>
  <si>
    <t>Mg-Zn-Mn-Sn (4)</t>
  </si>
  <si>
    <t>EA 55RS</t>
  </si>
  <si>
    <t>Mg-5Al-5Zn-5Nd</t>
  </si>
  <si>
    <t>Mg-Al-Zn-Nd</t>
  </si>
  <si>
    <t>EA55RS</t>
  </si>
  <si>
    <t>Magnesium, EA55RS, T4</t>
  </si>
  <si>
    <t>ZM51</t>
  </si>
  <si>
    <t>Mg-Zn-Y(2)</t>
  </si>
  <si>
    <t>R/S Mg-11Si-4Zn (dp = 0.8 𝞵m)</t>
  </si>
  <si>
    <t>R/S Mg-11Si-4Zn (dp = 3.3 𝞵m)</t>
  </si>
  <si>
    <t>I/M Mg-4Si-4Zn (dp = 76 𝞵m)</t>
  </si>
  <si>
    <t>ZM41</t>
  </si>
  <si>
    <t>Mg-Ca-Zn(2)</t>
  </si>
  <si>
    <t>Mg -Zn-Gd</t>
  </si>
  <si>
    <t>Mg-Li-Zn-Y</t>
  </si>
  <si>
    <t>Mg-Zn-Ca-Y (1)</t>
  </si>
  <si>
    <t>Mg-Zn-Ca-Y (2)</t>
  </si>
  <si>
    <t>Mg-Zn-Ca-Y (3)</t>
  </si>
  <si>
    <t>Mg-Mn-Ce</t>
  </si>
  <si>
    <t>AZ63A-F Magnesium</t>
  </si>
  <si>
    <t>AZ63A-T5 Magnesium</t>
  </si>
  <si>
    <t>AZ63A-T6 Magnesium</t>
  </si>
  <si>
    <t>Mg-Y-Zn-Zr(1)</t>
  </si>
  <si>
    <t>Magnesium, ZM21</t>
  </si>
  <si>
    <t>ZM21</t>
  </si>
  <si>
    <t>Mg-Zn-Y</t>
  </si>
  <si>
    <t>Mg-Sn-Zn-Al(1)</t>
  </si>
  <si>
    <t>Magnesium ZM21-0</t>
  </si>
  <si>
    <t>Magnesium ZM21-F</t>
  </si>
  <si>
    <t>Magnesium ZM21-H24</t>
  </si>
  <si>
    <t>Magnesium, AZ92A, cast, T6</t>
  </si>
  <si>
    <t>Mg-Gd-Zn</t>
  </si>
  <si>
    <t>TXZ212 (1)</t>
  </si>
  <si>
    <t>TXZ212 (2)</t>
  </si>
  <si>
    <t>Mg-Zn-Ca-Y</t>
  </si>
  <si>
    <t>LZAM9110</t>
  </si>
  <si>
    <t>LZ111</t>
  </si>
  <si>
    <t>Mg-Zn-Y (1)</t>
  </si>
  <si>
    <t>Mg-9Al-1Zn-1.5Si</t>
  </si>
  <si>
    <t>GW123</t>
  </si>
  <si>
    <t>AZ31B-O Magnesium</t>
  </si>
  <si>
    <t>AZ31B-F Magnesium</t>
  </si>
  <si>
    <t>AZ31B-H26 Magnesium</t>
  </si>
  <si>
    <t>AZ31B-H24 Magnesium</t>
  </si>
  <si>
    <t>ISO-WD21150-O Magnesium</t>
  </si>
  <si>
    <t>ISO-WD21150-F Magnesium</t>
  </si>
  <si>
    <t>ISO-WD21150-H22 Magnesium</t>
  </si>
  <si>
    <t>Mg-Al-Zn-La</t>
  </si>
  <si>
    <t>Mg-Zn-Ca (583 K)</t>
  </si>
  <si>
    <t>AZ91 FHT</t>
  </si>
  <si>
    <t xml:space="preserve">AZ91 </t>
  </si>
  <si>
    <t>Magnesium AZ31B T1 Wrought Alloy (UNS M11311)</t>
  </si>
  <si>
    <t>LAZM9310</t>
  </si>
  <si>
    <t>AZ151</t>
  </si>
  <si>
    <t>LZM910</t>
  </si>
  <si>
    <t>Magnesium, AZ61A, cast</t>
  </si>
  <si>
    <t>Magnesium, AZ61A</t>
  </si>
  <si>
    <t>LZ91</t>
  </si>
  <si>
    <t>HP2/36</t>
  </si>
  <si>
    <t>HP2/35</t>
  </si>
  <si>
    <t>Mg-9Al-0.8Zn-0.2Mn</t>
  </si>
  <si>
    <t>Mg-Al-Zn-Mn</t>
  </si>
  <si>
    <t>AZ91E-F Magnesium</t>
  </si>
  <si>
    <t>AZ91E-T4 Magnesium</t>
  </si>
  <si>
    <t>AZ91E-T6 Magnesium</t>
  </si>
  <si>
    <t>AZ91C-T5 Magnesium</t>
  </si>
  <si>
    <t>AZ91C-F Magnesium</t>
  </si>
  <si>
    <t>AZ91C-T6 Magnesium</t>
  </si>
  <si>
    <t>AZ91C-T4 Magnesium</t>
  </si>
  <si>
    <t>Magnesium, AZ91C, cast, T6</t>
  </si>
  <si>
    <t>AZ81A-F Magnesium</t>
  </si>
  <si>
    <t>Magnesium, AZ81A, cast</t>
  </si>
  <si>
    <t>AZ91D-F Magnesium</t>
  </si>
  <si>
    <t>AZ91D-T6 Magnesium</t>
  </si>
  <si>
    <t>AZ91D-T4 Magnesium</t>
  </si>
  <si>
    <t>Magnesium, AZ91D, cast, F</t>
  </si>
  <si>
    <t>EN-MC21120-F Magnesium</t>
  </si>
  <si>
    <t>EN-MC21120-T4 Magnesium</t>
  </si>
  <si>
    <t>EN-MC21120-T6 Magnesium</t>
  </si>
  <si>
    <t>HP2/59</t>
  </si>
  <si>
    <t>HP2/74</t>
  </si>
  <si>
    <t>HP2/54</t>
  </si>
  <si>
    <t>HP2/75</t>
  </si>
  <si>
    <t>HP2/91</t>
  </si>
  <si>
    <t>HP2/1</t>
  </si>
  <si>
    <t>HP2/77</t>
  </si>
  <si>
    <t>HP2/70</t>
  </si>
  <si>
    <t>HP2/19</t>
  </si>
  <si>
    <t>HP2/17</t>
  </si>
  <si>
    <t>HP2/14</t>
  </si>
  <si>
    <t>HP2/15</t>
  </si>
  <si>
    <t>HP2/71</t>
  </si>
  <si>
    <t>HP2/69</t>
  </si>
  <si>
    <t>HP2/7</t>
  </si>
  <si>
    <t>AZ61A1-L</t>
  </si>
  <si>
    <t>HP2/13</t>
  </si>
  <si>
    <t>HP2/18</t>
  </si>
  <si>
    <t>HP2/8</t>
  </si>
  <si>
    <t>HP2/93</t>
  </si>
  <si>
    <t>HP2/94</t>
  </si>
  <si>
    <t>HP2/25</t>
  </si>
  <si>
    <t>HP2/22</t>
  </si>
  <si>
    <t>HP2/16</t>
  </si>
  <si>
    <t>HP2/72</t>
  </si>
  <si>
    <t>HP2/73</t>
  </si>
  <si>
    <t>HP2/23</t>
  </si>
  <si>
    <t>HP2/26</t>
  </si>
  <si>
    <t>HP2/24</t>
  </si>
  <si>
    <t>Mg-6Al</t>
  </si>
  <si>
    <t>Mg-Gd-Y-Zr</t>
  </si>
  <si>
    <t>AZ80A-F Magnesium</t>
  </si>
  <si>
    <t>AZ80A-T5 Magnesium</t>
  </si>
  <si>
    <t>Magnesium, AZ80A, T5</t>
  </si>
  <si>
    <t>AZ80 (testing direction L)</t>
  </si>
  <si>
    <t>extruded</t>
  </si>
  <si>
    <t>AZ80 (testing direction R)</t>
  </si>
  <si>
    <t>Mg-Gd-Er-Zr</t>
  </si>
  <si>
    <t>Magnesium AZ80A T4 Wrought Alloy (UNS M11800)</t>
  </si>
  <si>
    <t>HP2/5</t>
  </si>
  <si>
    <t>LAZ1010</t>
  </si>
  <si>
    <t>Mg-Ni-Y</t>
  </si>
  <si>
    <t>Mg-Y-RE</t>
  </si>
  <si>
    <t>Mg-Y</t>
  </si>
  <si>
    <t>MW01(1)</t>
  </si>
  <si>
    <t>MW11</t>
  </si>
  <si>
    <t>MW11 (1)</t>
  </si>
  <si>
    <t>MW21</t>
  </si>
  <si>
    <t>MW21(1)</t>
  </si>
  <si>
    <t>MN11</t>
  </si>
  <si>
    <t>Mg-8.5Li-1Y</t>
  </si>
  <si>
    <t>AJC421</t>
  </si>
  <si>
    <t>AJ42</t>
  </si>
  <si>
    <t>TX21</t>
  </si>
  <si>
    <t>I/M Mg-13Si-4Al (dp = 41 𝞵m)</t>
  </si>
  <si>
    <t>Mg-11Si-4Al</t>
  </si>
  <si>
    <t>Mg-Si-Al</t>
  </si>
  <si>
    <t>R/S Mg-11Si-4Al (dp = 0.7 𝞵m)</t>
  </si>
  <si>
    <t>R/S Mg-11Si-4Al (dp = 1.4 𝞵m)</t>
  </si>
  <si>
    <t>R/S Mg-11Si-4Al (dp = 1.4𝞵m)</t>
  </si>
  <si>
    <t>I/M Mg 6Si (dp = 63 𝞵m)</t>
  </si>
  <si>
    <t>AS21</t>
  </si>
  <si>
    <t>AS41</t>
  </si>
  <si>
    <t>Magnesium AS21-F</t>
  </si>
  <si>
    <t>Magnesium, AS21B, cast, F</t>
  </si>
  <si>
    <t>Magnesium, AS21A, cast</t>
  </si>
  <si>
    <t>Mg-6Sc-1Mn</t>
  </si>
  <si>
    <t>HP2/214</t>
  </si>
  <si>
    <t>HP2/215</t>
  </si>
  <si>
    <t>HP2/209</t>
  </si>
  <si>
    <t>HP2/216</t>
  </si>
  <si>
    <t>Magnesium, AE44, cast, F</t>
  </si>
  <si>
    <t>MN11(1)</t>
  </si>
  <si>
    <t>Mg-Zn-Mn</t>
  </si>
  <si>
    <t>HP2/208</t>
  </si>
  <si>
    <t xml:space="preserve">HP2/194 </t>
  </si>
  <si>
    <t>Mg-Al-Mn-RE</t>
  </si>
  <si>
    <t>HP2/207</t>
  </si>
  <si>
    <t xml:space="preserve">HP2/193 </t>
  </si>
  <si>
    <t>HP2/217</t>
  </si>
  <si>
    <t>Magnesium, AE42, cast, F</t>
  </si>
  <si>
    <t xml:space="preserve">HP2/192 </t>
  </si>
  <si>
    <t>HP2/204</t>
  </si>
  <si>
    <t xml:space="preserve">HP2/190 </t>
  </si>
  <si>
    <t>HP2/198</t>
  </si>
  <si>
    <t>HP2/201</t>
  </si>
  <si>
    <t>HP2/202</t>
  </si>
  <si>
    <t>HP2/200</t>
  </si>
  <si>
    <t>HP2/211</t>
  </si>
  <si>
    <t>M2</t>
  </si>
  <si>
    <t>Mg-Gd-Y-Zn-Nd-Zr</t>
  </si>
  <si>
    <t>M1A</t>
  </si>
  <si>
    <t>M1(1)</t>
  </si>
  <si>
    <t>ME11</t>
  </si>
  <si>
    <t>ME11(1)</t>
  </si>
  <si>
    <t>MW01</t>
  </si>
  <si>
    <t>Mg-Mn-Ce (3)</t>
  </si>
  <si>
    <t>Magnesium, AM20, cast</t>
  </si>
  <si>
    <t>AM20</t>
  </si>
  <si>
    <t>Magnesium, AM50A, cast</t>
  </si>
  <si>
    <t>Magnesium, AM60B, cast, F</t>
  </si>
  <si>
    <t>Mg-Al-Ca-Mn</t>
  </si>
  <si>
    <t>Magnesium, AM60A, cast</t>
  </si>
  <si>
    <t>AM50</t>
  </si>
  <si>
    <t>Mg-Mn-Ce (2)</t>
  </si>
  <si>
    <t>AM100A-F Magnesium</t>
  </si>
  <si>
    <t>AM100A-T4 Magnesium</t>
  </si>
  <si>
    <t>AM100A-T61 Magnesium</t>
  </si>
  <si>
    <t>AM100A-T6 Magnesium</t>
  </si>
  <si>
    <t>Magnesium, AM100A, cast, T6</t>
  </si>
  <si>
    <t>Magnesium, Mg-12Li, cast</t>
  </si>
  <si>
    <t>Mg-8.5Li</t>
  </si>
  <si>
    <t>Mg-5.5Li</t>
  </si>
  <si>
    <t>Mg-Li-Al-Fe</t>
  </si>
  <si>
    <t>Mg-Gd</t>
  </si>
  <si>
    <t>Mg-Mn-Ce (1)</t>
  </si>
  <si>
    <t>Mg-Ce</t>
  </si>
  <si>
    <t>Mg-9Al-6.5Ca</t>
  </si>
  <si>
    <t>Mg/SiC (33.6 pct)</t>
  </si>
  <si>
    <t>Magnesium, commercial purity, ASTM 9980A</t>
  </si>
  <si>
    <t>Magnesium</t>
  </si>
  <si>
    <t>Magnesium, EZ33A, cast, T5</t>
  </si>
  <si>
    <t>Magnesium, WE43A, cast</t>
  </si>
  <si>
    <t>Magnesium, WE43A, T6</t>
  </si>
  <si>
    <t>Magnesium, Elektron 21, T6</t>
  </si>
  <si>
    <t>Mg-Gd-Y-Zn-Zr (4)</t>
  </si>
  <si>
    <t>Mg-Gd-Nd-Zr</t>
  </si>
  <si>
    <t>ZKCa50 (1)</t>
  </si>
  <si>
    <t>ZKCa50 (2)</t>
  </si>
  <si>
    <t>ZKCa50 (3)</t>
  </si>
  <si>
    <t>ZKCa50 (4)</t>
  </si>
  <si>
    <t>ZKCa50 (5)</t>
  </si>
  <si>
    <t>ZKCa50 (6)</t>
  </si>
  <si>
    <t>ZYbK520</t>
  </si>
  <si>
    <t>ZA122</t>
  </si>
  <si>
    <t>Mg-Zn-Mn-Sn (6)</t>
  </si>
  <si>
    <t>ZM61</t>
  </si>
  <si>
    <t>AZ92A-T5 Magnesium</t>
  </si>
  <si>
    <t>AZ92A-F Magnesium</t>
  </si>
  <si>
    <t>AZ92A-T6 Magnesium</t>
  </si>
  <si>
    <t>AZ92A-T4 Magnesium</t>
  </si>
  <si>
    <t>Mg-Sn-Zn-Mn</t>
  </si>
  <si>
    <t>Magnesium, AZ31B</t>
  </si>
  <si>
    <t>HP2/34</t>
  </si>
  <si>
    <t>AZ91(1)</t>
  </si>
  <si>
    <t>HP2/56</t>
  </si>
  <si>
    <t>EN-MC21110-F Magnesium</t>
  </si>
  <si>
    <t>EN-MC21110-T4 Magnesium</t>
  </si>
  <si>
    <t>HP2/57</t>
  </si>
  <si>
    <t>HP2/3</t>
  </si>
  <si>
    <t>HP2/2</t>
  </si>
  <si>
    <t>HP2/11</t>
  </si>
  <si>
    <t>HP2/9</t>
  </si>
  <si>
    <t>AZ31B-L</t>
  </si>
  <si>
    <t>HP2/21</t>
  </si>
  <si>
    <t>HP2/4</t>
  </si>
  <si>
    <t>LAZ1010Sc</t>
  </si>
  <si>
    <t>Magnesium Elektron Elektron® 21 Magnesium Casting Alloy</t>
  </si>
  <si>
    <t>Magnesium, AS41A, cast</t>
  </si>
  <si>
    <t>HP2/206</t>
  </si>
  <si>
    <t>Magnesium AM20-F</t>
  </si>
  <si>
    <t>Mg-Al-Ca</t>
  </si>
  <si>
    <t>HP2/12</t>
  </si>
  <si>
    <t>ZK60A-F Magnesium</t>
  </si>
  <si>
    <t>ZK60A-T5 Magnesium</t>
  </si>
  <si>
    <t>ZK60A-T6 Magnesium</t>
  </si>
  <si>
    <t>Magnesium, AJ62A, cast, F</t>
  </si>
  <si>
    <t>AZ61-A2</t>
  </si>
  <si>
    <t>unreinforced AZ91</t>
  </si>
  <si>
    <t>TAZ7111</t>
  </si>
  <si>
    <t>AZ80-39</t>
  </si>
  <si>
    <t>YKN1</t>
  </si>
  <si>
    <t>YS(MPa)</t>
  </si>
  <si>
    <t>UTS(MPa)</t>
  </si>
  <si>
    <t>Process-Heat treatment</t>
  </si>
  <si>
    <t>Cast (Any cast type, then heat treated)</t>
  </si>
  <si>
    <t>Extruded</t>
  </si>
  <si>
    <t>Cast (Die cast, HPDC, fast cool)</t>
  </si>
  <si>
    <t>Wrought - rolled and Forging</t>
  </si>
  <si>
    <t>Cast  (sand, slow cool)</t>
  </si>
  <si>
    <t>ECAP-ECAE</t>
  </si>
  <si>
    <t>Mg-0Ag</t>
  </si>
  <si>
    <t>Mg-2Ag</t>
  </si>
  <si>
    <t>Mg-4Ag</t>
  </si>
  <si>
    <t>Mg-6Ag</t>
  </si>
  <si>
    <t>﻿Mg-8Gd-3Y- 0.4Zr</t>
  </si>
  <si>
    <t>﻿Mg-9Gd-4Y- 0.5Zr</t>
  </si>
  <si>
    <t>﻿Mg-10Gd-2Y- 0.4Zr</t>
  </si>
  <si>
    <t>﻿Mg-10Gd-3Y- 0.4Zr</t>
  </si>
  <si>
    <t>﻿Mg-11Gd- 2Nd-Zr</t>
  </si>
  <si>
    <t>﻿Mg-8.3Gd- 1.1Dy-0.4Zr</t>
  </si>
  <si>
    <t>﻿Mg-8Gd-2Dy- 0.2Zr</t>
  </si>
  <si>
    <t>﻿Mg-8.5Gd- 2.3Y-1.8Ag- 0.4Zr</t>
  </si>
  <si>
    <t>﻿Mg-18Gd- 2Ag-0.3Zr</t>
  </si>
  <si>
    <t>﻿Mg-15.6Gd- 1.8Ag-0.4Zr</t>
  </si>
  <si>
    <t>﻿Mg-6.5Gd- 2.5Dy-1.8Zn</t>
  </si>
  <si>
    <t>﻿Mg-10Gd-3Y- 1.0Zn-0.4Zr</t>
  </si>
  <si>
    <t>﻿Mg-14Gd- 2Zn-0.5Zr</t>
  </si>
  <si>
    <t>﻿Mg-14Gd-3Y- 1.8Zn-0.5Zr</t>
  </si>
  <si>
    <t>﻿Mg-15Gd- 1Zn-0.4Zr</t>
  </si>
  <si>
    <t>﻿Mg-17.4Gd- 1.1Zn-0.6Zr</t>
  </si>
  <si>
    <t>﻿Mg-17.4Gd- 1.7Zn-0.6Zr</t>
  </si>
  <si>
    <t>wrought - rolled and Forging</t>
  </si>
  <si>
    <t>Mg-12Gd-3Y-0.6Zr</t>
  </si>
  <si>
    <t>﻿Mg-14Gd- 0.5Zr</t>
  </si>
  <si>
    <t>﻿Mg-6Gd-3Y- 2Nd-0.4Zr</t>
  </si>
  <si>
    <t>﻿Mg-12Gd-3Y- 0.4Zr</t>
  </si>
  <si>
    <t>﻿Mg-12Gd-3Y- 0.6Zr</t>
  </si>
  <si>
    <t>﻿Mg-11.7Gd- 4.9Y-0.3Zr</t>
  </si>
  <si>
    <t>﻿Mg-8Gd-1Er- 0.5Zr</t>
  </si>
  <si>
    <t>﻿Mg-11Gd-1Zn</t>
  </si>
  <si>
    <t>﻿Mg-15Gd-1Zn-0.4Zr</t>
  </si>
  <si>
    <t>﻿Mg-16.4Gd-2.3Zn-0.6Zr</t>
  </si>
  <si>
    <t>﻿Mg-7Gd-3Y-1Nd-1Zn- 0.5Zr</t>
  </si>
  <si>
    <t>﻿Mg-8.2Gd-3.8Y-1Zn-0.4Zr</t>
  </si>
  <si>
    <t>﻿Mg-8.4Gd-5.3Y-1.7Zn- 0.6Mn</t>
  </si>
  <si>
    <t>Mg-10Gd-3Y-1.0Zn-0.5Zr</t>
  </si>
  <si>
    <t>Mg-10Gd-6Y-1.6Zn-0.6Zr</t>
  </si>
  <si>
    <t xml:space="preserve">﻿Mg-10Gd-2Y-0.5Zn-0.3Zr  </t>
  </si>
  <si>
    <t xml:space="preserve"> Mg-10Gd-6Y-1.6Zn-0.6Zr</t>
  </si>
  <si>
    <t>﻿Mg-10Gd-6Y-2Zn-0.6Zr</t>
  </si>
  <si>
    <t>﻿Mg-11Gd-4Y-1.7Zn-0.5Zr</t>
  </si>
  <si>
    <t>﻿Mg-11Gd-4.5Y-1Nd-1.5Zn- 0.5Zr</t>
  </si>
  <si>
    <t>﻿Mg-11.5Gd-4.5Y-1.5Zn- 0.4Zr</t>
  </si>
  <si>
    <t>﻿Mg-12Gd-2Er-1Zn-0.6Zr</t>
  </si>
  <si>
    <t>﻿Mg-4Y-2Zn-0.5Al</t>
  </si>
  <si>
    <t>﻿Mg-5Y-5Zn-0.6Zr</t>
  </si>
  <si>
    <t>﻿Mg-5.7Y-4.2Zn</t>
  </si>
  <si>
    <t>﻿Mg-6.8Y-2.5Zn</t>
  </si>
  <si>
    <t>﻿Mg-9.5Y-3.5Zn-1Mn</t>
  </si>
  <si>
    <t>﻿Mg-12Y-3Zn-0.6Zr</t>
  </si>
  <si>
    <t>﻿Mg-19Y-6.5Ni</t>
  </si>
  <si>
    <t>﻿Mg-7Y-4Gd-1.5Zn-0.4Zr</t>
  </si>
  <si>
    <t>﻿Mg-12Y-5Zn-0.6Zr</t>
  </si>
  <si>
    <t>﻿Mg-5Zn-1Ce-0.5Y-0.6Zr</t>
  </si>
  <si>
    <t>﻿Mg-5.1Zn-3.2Y-0.4Zr- 0.4Ca</t>
  </si>
  <si>
    <t>﻿Mg-10.3Zn-6.4Y-0.4Zr- 0.5Ca</t>
  </si>
  <si>
    <t>﻿Mg-8Zn-2Y</t>
  </si>
  <si>
    <t>﻿Mg-14Zn-3Y</t>
  </si>
  <si>
    <t>﻿Mg-8.3Zn-1.5Y</t>
  </si>
  <si>
    <t>﻿Mg-10Gd-3Y-0.5Zr</t>
  </si>
  <si>
    <t>﻿Mg-10Gd-1Zn-0.5Zr</t>
  </si>
  <si>
    <t>﻿Mg-10Gd-2Y-1Zn-0.5Zr</t>
  </si>
  <si>
    <t>﻿Mg–2Zn–0.2Y–0.5Nd–0.4Zr</t>
  </si>
  <si>
    <t>﻿Mg-10Zn-5Al</t>
  </si>
  <si>
    <t>﻿Mg–1Nd–1Ce-0.5Zn-0.5Zr</t>
  </si>
  <si>
    <t>﻿Mg-6Er-3Y-1.5Zn-0.4 Mn</t>
  </si>
  <si>
    <t>﻿Mg-8.1Gd-4Y-1Zn</t>
  </si>
  <si>
    <t>﻿Mg-12Dy-11Ni</t>
  </si>
  <si>
    <t>﻿Mg-8Gd-3Yb-1.2Zn-0.5Zr</t>
  </si>
  <si>
    <t>﻿Mg-9.2Gd-3.3Y-1.2Zn-0.9Mn</t>
  </si>
  <si>
    <t>﻿Mg-8.3Gd-4.2Y-1.4Zn-1.1Mn</t>
  </si>
  <si>
    <t>﻿Mg-8.8Gd-3.4Y-1Zn-0.8Mn</t>
  </si>
  <si>
    <t>﻿Mg-12.6Gd-1.3Y-0.9Zn-0.5Mn</t>
  </si>
  <si>
    <t>﻿Mg-9.5Gd3.8Y-0.6Zr</t>
  </si>
  <si>
    <t>﻿Mg-8.2Gd-3.8Y-1.0Zn-0.4Zr</t>
  </si>
  <si>
    <t>﻿Mg-6Er-3Y-1.5Zn-0.4Mn</t>
  </si>
  <si>
    <t>﻿Mg-0.6Er-0.6Y-1.2Zn-0.2Mn</t>
  </si>
  <si>
    <t>﻿Mg-3.6Zn-0.6Y-0.2Ca</t>
  </si>
  <si>
    <t>﻿Mg-8Al-1Zn-1Ca-0.3Mn</t>
  </si>
  <si>
    <t>﻿Mg-5Al-3.5Ca-1Mn</t>
  </si>
  <si>
    <t>﻿Mg–8.32Sn–1.85Zn–0.17Mn</t>
  </si>
  <si>
    <t>﻿Mg-2Sn-2Ca</t>
  </si>
  <si>
    <t>﻿Mg-2.0Sn-1.95Ca-0.5Mn</t>
  </si>
  <si>
    <t>﻿Mg-5Zn-3.5Sn-1Mn-0.5Ca-0.5Cu</t>
  </si>
  <si>
    <t>Mg-1Ca</t>
  </si>
  <si>
    <t>﻿Mg-6Zn-0.5Zr-0.5Cu-0.5Ce</t>
  </si>
  <si>
    <t>﻿Mg-9Al-2.5Sn-1.5Ca</t>
  </si>
  <si>
    <t>﻿Mg–1.2Zn–0.35Zr–0.17Nd</t>
  </si>
  <si>
    <t>﻿Mg–4.5Sn–5Zn–0.3Sc</t>
  </si>
  <si>
    <t xml:space="preserve">﻿Mg-0.4Sn-0.7Y-0.6Zn </t>
  </si>
  <si>
    <t>Mg-7Sn-4Al-1Zn</t>
  </si>
  <si>
    <t>Mg-1.0Sn-0.5Zn-2.0Ca</t>
  </si>
  <si>
    <t xml:space="preserve">Mg-1.0Sn-0.5Zn-0.5Ca  </t>
  </si>
  <si>
    <t>Mg-8Sn-2Zn-0.5Cu</t>
  </si>
  <si>
    <t xml:space="preserve">Mg-1.1Al-0.33Ca-0.44Mn </t>
  </si>
  <si>
    <t>Mg-5Y-1Al</t>
  </si>
  <si>
    <t xml:space="preserve">﻿Mg-8Al-0.5Zn-1.3Ce </t>
  </si>
  <si>
    <t>Mg–7Al–5Zn</t>
  </si>
  <si>
    <t>Mg-2Gd-0.5Mn</t>
  </si>
  <si>
    <t xml:space="preserve">Mg-2Gd-0.5Zr-3Zn  </t>
  </si>
  <si>
    <t>Mg–1Mn–0.5Al</t>
  </si>
  <si>
    <t xml:space="preserve">Mg-2.1Nd-0.2Zn-0.5Zr </t>
  </si>
  <si>
    <t>﻿Mg-14Li-6Zn-1Y</t>
  </si>
  <si>
    <t>﻿Mg-9Li</t>
  </si>
  <si>
    <t>﻿Mg-4Al-2La</t>
  </si>
  <si>
    <t>﻿Mg-4Al-4La</t>
  </si>
  <si>
    <t>﻿Mg-4Al-6La</t>
  </si>
  <si>
    <t>AM50-3Ce</t>
  </si>
  <si>
    <t>AM50-2Ce</t>
  </si>
  <si>
    <t>AM50-1.5Ce</t>
  </si>
  <si>
    <t>AM50-1Ce</t>
  </si>
  <si>
    <t>AM50-0.5Ce</t>
  </si>
  <si>
    <t>AZ31-5Li</t>
  </si>
  <si>
    <t>AZ31-3Li</t>
  </si>
  <si>
    <t>AZ31-1Li</t>
  </si>
  <si>
    <t>AZ31  -  Li0 (ED rotation)</t>
  </si>
  <si>
    <t>AZ31-5Li   -  Li5 (45 rotation)</t>
  </si>
  <si>
    <t>AZ31-5Li   -  Li5 (TD rotation)</t>
  </si>
  <si>
    <t>AZ31-1Li   -  Li1 (45 rotation)</t>
  </si>
  <si>
    <t>AZ31-1Li   -  Li1 (TD rotation)</t>
  </si>
  <si>
    <t>AZ31-3Li   -  Li3 (ED rotation)</t>
  </si>
  <si>
    <t>AZ31-3Li   -  Li3 (45 rotation)</t>
  </si>
  <si>
    <t>AZ31-3Li   -  Li3 (TD rotation)</t>
  </si>
  <si>
    <t>AZ31-5Li   -  Li5 (ED rotation)</t>
  </si>
  <si>
    <t>AZ31 -  Li0 (45 rotation)</t>
  </si>
  <si>
    <t>AZ31 -  Li0 (TD rotation)</t>
  </si>
  <si>
    <t>AZ31-1Li -   Li1 (ED rotation)</t>
  </si>
  <si>
    <t xml:space="preserve">AM50 </t>
  </si>
  <si>
    <t>AM30-3Ca (Mg-4Al-0.3Mn-3Ca)</t>
  </si>
  <si>
    <t xml:space="preserve">AZ31 </t>
  </si>
  <si>
    <t>﻿Mg-2Zn-0.3Sr</t>
  </si>
  <si>
    <t>﻿Mg-2Zn-0.3Sr-1Mn</t>
  </si>
  <si>
    <t>﻿Mg-2Zn-0.3Sr-2Mn</t>
  </si>
  <si>
    <t>Mg-1Mn</t>
  </si>
  <si>
    <t>Mg-3Y</t>
  </si>
  <si>
    <t>Mg-2Y</t>
  </si>
  <si>
    <t>Mg-4Y</t>
  </si>
  <si>
    <t>Mg-2Er</t>
  </si>
  <si>
    <t>Mg-4Er</t>
  </si>
  <si>
    <t>Mg-6Er</t>
  </si>
  <si>
    <t>﻿Mg-5Y-0.5Zr</t>
  </si>
  <si>
    <t>﻿Mg-5Y-0.5Zr-0.5Nd</t>
  </si>
  <si>
    <t>﻿Mg-5Y-0.5Zr-1Nd</t>
  </si>
  <si>
    <t>﻿Mg-5Y-0.5Zr-2.6Nd</t>
  </si>
  <si>
    <t>﻿Mg-6Gd-2Nd-0.5Zr</t>
  </si>
  <si>
    <t>﻿Mg-12Gd-3Y-0.4Zr</t>
  </si>
  <si>
    <t>﻿Mg–8Gd–5Y–2Zn–0.6Mn</t>
  </si>
  <si>
    <t>﻿Mg–6Gd–0.6Zr</t>
  </si>
  <si>
    <t>AM100A-T7 Magnesium</t>
  </si>
  <si>
    <t>Mg-Gd-Y-Zn-Zr (1) or ZK60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</si>
</sst>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2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A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C28B-2A9D-2C4F-9ED5-A4AA13506ABD}">
  <dimension ref="A1:BE917"/>
  <sheetViews>
    <sheetView tabSelected="1" workbookViewId="0">
      <pane ySplit="1" topLeftCell="A907" activePane="bottomLeft" state="frozen"/>
      <selection pane="bottomLeft" sqref="A1:XFD1048576"/>
    </sheetView>
  </sheetViews>
  <sheetFormatPr baseColWidth="10" defaultRowHeight="15" x14ac:dyDescent="0.2"/>
  <cols>
    <col min="1" max="1" width="29.33203125" style="1" customWidth="1"/>
    <col min="2" max="2" width="20.33203125" style="1" customWidth="1"/>
    <col min="3" max="16384" width="10.83203125" style="1"/>
  </cols>
  <sheetData>
    <row r="1" spans="1:36" s="3" customFormat="1" x14ac:dyDescent="0.2">
      <c r="A1" s="2" t="s">
        <v>0</v>
      </c>
      <c r="B1" s="1" t="s">
        <v>624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622</v>
      </c>
      <c r="AI1" s="1" t="s">
        <v>623</v>
      </c>
      <c r="AJ1" s="2" t="s">
        <v>32</v>
      </c>
    </row>
    <row r="2" spans="1:36" s="3" customFormat="1" x14ac:dyDescent="0.2">
      <c r="A2" s="3" t="s">
        <v>33</v>
      </c>
      <c r="B2" s="1" t="s">
        <v>625</v>
      </c>
      <c r="C2" s="1">
        <v>83.4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1.4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15.2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3">
        <v>152.5</v>
      </c>
      <c r="AI2" s="3">
        <v>174.5</v>
      </c>
      <c r="AJ2" s="3">
        <v>0.25</v>
      </c>
    </row>
    <row r="3" spans="1:36" s="3" customFormat="1" x14ac:dyDescent="0.2">
      <c r="A3" s="3" t="s">
        <v>34</v>
      </c>
      <c r="B3" s="1" t="s">
        <v>625</v>
      </c>
      <c r="C3" s="1">
        <v>80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0.27</v>
      </c>
      <c r="L3" s="1">
        <v>0</v>
      </c>
      <c r="M3" s="1">
        <v>0</v>
      </c>
      <c r="N3" s="1">
        <v>0.01</v>
      </c>
      <c r="O3" s="1">
        <v>0</v>
      </c>
      <c r="P3" s="1">
        <v>19.7</v>
      </c>
      <c r="Q3" s="1">
        <v>0.01</v>
      </c>
      <c r="R3" s="1">
        <v>0.01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3">
        <v>265</v>
      </c>
      <c r="AI3" s="3">
        <v>330</v>
      </c>
      <c r="AJ3" s="3">
        <v>2.7</v>
      </c>
    </row>
    <row r="4" spans="1:36" s="3" customFormat="1" x14ac:dyDescent="0.2">
      <c r="A4" s="3" t="s">
        <v>35</v>
      </c>
      <c r="B4" s="1" t="s">
        <v>625</v>
      </c>
      <c r="C4" s="1">
        <v>79.55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0.34</v>
      </c>
      <c r="L4" s="1">
        <v>1.8799999999999997</v>
      </c>
      <c r="M4" s="1">
        <v>0</v>
      </c>
      <c r="N4" s="1">
        <v>0</v>
      </c>
      <c r="O4" s="1">
        <v>0</v>
      </c>
      <c r="P4" s="1">
        <v>18.23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3">
        <v>293</v>
      </c>
      <c r="AI4" s="3">
        <v>414</v>
      </c>
      <c r="AJ4" s="3">
        <v>2.2000000000000002</v>
      </c>
    </row>
    <row r="5" spans="1:36" s="3" customFormat="1" x14ac:dyDescent="0.2">
      <c r="A5" s="3" t="s">
        <v>36</v>
      </c>
      <c r="B5" s="1" t="s">
        <v>626</v>
      </c>
      <c r="C5" s="1">
        <v>74.400000000000006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25.6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3">
        <v>320</v>
      </c>
      <c r="AI5" s="3">
        <v>353</v>
      </c>
      <c r="AJ5" s="3">
        <v>0.4</v>
      </c>
    </row>
    <row r="6" spans="1:36" s="3" customFormat="1" x14ac:dyDescent="0.2">
      <c r="A6" s="1" t="s">
        <v>37</v>
      </c>
      <c r="B6" s="1" t="s">
        <v>627</v>
      </c>
      <c r="C6" s="1">
        <v>87</v>
      </c>
      <c r="D6" s="1">
        <v>0</v>
      </c>
      <c r="E6" s="1">
        <v>0</v>
      </c>
      <c r="F6" s="1">
        <v>0</v>
      </c>
      <c r="G6" s="1">
        <v>0.8</v>
      </c>
      <c r="H6" s="1">
        <v>0</v>
      </c>
      <c r="I6" s="1">
        <v>9</v>
      </c>
      <c r="J6" s="1">
        <v>0</v>
      </c>
      <c r="K6" s="1">
        <v>0</v>
      </c>
      <c r="L6" s="1">
        <v>0</v>
      </c>
      <c r="M6" s="1">
        <v>0</v>
      </c>
      <c r="N6" s="1">
        <v>0.2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3</v>
      </c>
      <c r="AH6" s="1">
        <v>162</v>
      </c>
      <c r="AI6" s="1">
        <v>224</v>
      </c>
      <c r="AJ6" s="1">
        <v>3.2</v>
      </c>
    </row>
    <row r="7" spans="1:36" s="3" customFormat="1" x14ac:dyDescent="0.2">
      <c r="A7" s="3" t="s">
        <v>38</v>
      </c>
      <c r="B7" s="1" t="s">
        <v>626</v>
      </c>
      <c r="C7" s="1">
        <v>84</v>
      </c>
      <c r="D7" s="1">
        <v>0</v>
      </c>
      <c r="E7" s="1">
        <v>0</v>
      </c>
      <c r="F7" s="1">
        <v>0</v>
      </c>
      <c r="G7" s="1">
        <v>3</v>
      </c>
      <c r="H7" s="1">
        <v>0</v>
      </c>
      <c r="I7" s="1">
        <v>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3">
        <v>518</v>
      </c>
      <c r="AI7" s="3">
        <v>646</v>
      </c>
      <c r="AJ7" s="3">
        <v>1.2</v>
      </c>
    </row>
    <row r="8" spans="1:36" s="3" customFormat="1" x14ac:dyDescent="0.2">
      <c r="A8" s="3" t="s">
        <v>39</v>
      </c>
      <c r="B8" s="1" t="s">
        <v>626</v>
      </c>
      <c r="C8" s="1">
        <v>89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3">
        <v>518</v>
      </c>
      <c r="AI8" s="3">
        <v>646</v>
      </c>
      <c r="AJ8" s="3">
        <v>1.2</v>
      </c>
    </row>
    <row r="9" spans="1:36" s="3" customFormat="1" x14ac:dyDescent="0.2">
      <c r="A9" s="3" t="s">
        <v>40</v>
      </c>
      <c r="B9" s="1" t="s">
        <v>626</v>
      </c>
      <c r="C9" s="1">
        <v>89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2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3">
        <v>474</v>
      </c>
      <c r="AI9" s="3">
        <v>613</v>
      </c>
      <c r="AJ9" s="3">
        <v>1.3</v>
      </c>
    </row>
    <row r="10" spans="1:36" s="3" customFormat="1" x14ac:dyDescent="0.2">
      <c r="A10" s="3" t="s">
        <v>41</v>
      </c>
      <c r="B10" s="1" t="s">
        <v>626</v>
      </c>
      <c r="C10" s="1">
        <v>89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3">
        <v>498</v>
      </c>
      <c r="AI10" s="3">
        <v>630</v>
      </c>
      <c r="AJ10" s="3">
        <v>2.6</v>
      </c>
    </row>
    <row r="11" spans="1:36" s="3" customFormat="1" x14ac:dyDescent="0.2">
      <c r="A11" s="3" t="s">
        <v>42</v>
      </c>
      <c r="B11" s="1" t="s">
        <v>626</v>
      </c>
      <c r="C11" s="1">
        <v>90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3">
        <v>499</v>
      </c>
      <c r="AI11" s="3">
        <v>595</v>
      </c>
      <c r="AJ11" s="3">
        <v>3.5</v>
      </c>
    </row>
    <row r="12" spans="1:36" s="3" customFormat="1" x14ac:dyDescent="0.2">
      <c r="A12" s="3" t="s">
        <v>43</v>
      </c>
      <c r="B12" s="1" t="s">
        <v>626</v>
      </c>
      <c r="C12" s="1">
        <v>95.9</v>
      </c>
      <c r="D12" s="1">
        <v>0</v>
      </c>
      <c r="E12" s="1">
        <v>0</v>
      </c>
      <c r="F12" s="1">
        <v>0</v>
      </c>
      <c r="G12" s="1">
        <v>2.7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3">
        <v>208</v>
      </c>
      <c r="AI12" s="3">
        <v>300</v>
      </c>
      <c r="AJ12" s="3">
        <v>20</v>
      </c>
    </row>
    <row r="13" spans="1:36" s="3" customFormat="1" x14ac:dyDescent="0.2">
      <c r="A13" s="3" t="s">
        <v>43</v>
      </c>
      <c r="B13" s="1" t="s">
        <v>626</v>
      </c>
      <c r="C13" s="1">
        <v>93</v>
      </c>
      <c r="D13" s="1">
        <v>0</v>
      </c>
      <c r="E13" s="1">
        <v>0</v>
      </c>
      <c r="F13" s="1">
        <v>0</v>
      </c>
      <c r="G13" s="1">
        <v>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3">
        <v>200</v>
      </c>
      <c r="AI13" s="3">
        <v>280</v>
      </c>
      <c r="AJ13" s="3">
        <v>15</v>
      </c>
    </row>
    <row r="14" spans="1:36" s="3" customFormat="1" x14ac:dyDescent="0.2">
      <c r="A14" s="3" t="s">
        <v>44</v>
      </c>
      <c r="B14" s="1" t="s">
        <v>625</v>
      </c>
      <c r="C14" s="1">
        <v>80.239999999999995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0.01</v>
      </c>
      <c r="L14" s="1">
        <v>0</v>
      </c>
      <c r="M14" s="1">
        <v>0</v>
      </c>
      <c r="N14" s="1">
        <v>0.01</v>
      </c>
      <c r="O14" s="1">
        <v>0</v>
      </c>
      <c r="P14" s="1">
        <v>0</v>
      </c>
      <c r="Q14" s="1">
        <v>0.01</v>
      </c>
      <c r="R14" s="1">
        <v>0.03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19.7</v>
      </c>
      <c r="AD14" s="1">
        <v>0</v>
      </c>
      <c r="AE14" s="1">
        <v>0</v>
      </c>
      <c r="AF14" s="1">
        <v>0</v>
      </c>
      <c r="AG14" s="1">
        <v>0</v>
      </c>
      <c r="AH14" s="3">
        <v>228</v>
      </c>
      <c r="AI14" s="3">
        <v>280</v>
      </c>
      <c r="AJ14" s="3">
        <v>3.4</v>
      </c>
    </row>
    <row r="15" spans="1:36" s="3" customFormat="1" x14ac:dyDescent="0.2">
      <c r="A15" s="3" t="s">
        <v>45</v>
      </c>
      <c r="B15" s="1" t="s">
        <v>626</v>
      </c>
      <c r="C15" s="1">
        <v>92.35</v>
      </c>
      <c r="D15" s="1">
        <v>0</v>
      </c>
      <c r="E15" s="1">
        <v>0</v>
      </c>
      <c r="F15" s="1">
        <v>0</v>
      </c>
      <c r="G15" s="1">
        <v>5</v>
      </c>
      <c r="H15" s="1">
        <v>0</v>
      </c>
      <c r="I15" s="1">
        <v>0</v>
      </c>
      <c r="J15" s="1">
        <v>0.25</v>
      </c>
      <c r="K15" s="1">
        <v>0.3</v>
      </c>
      <c r="L15" s="1">
        <v>0</v>
      </c>
      <c r="M15" s="1">
        <v>0</v>
      </c>
      <c r="N15" s="1">
        <v>0.1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3">
        <v>350</v>
      </c>
      <c r="AI15" s="3">
        <v>360</v>
      </c>
      <c r="AJ15" s="3">
        <v>16.5</v>
      </c>
    </row>
    <row r="16" spans="1:36" s="3" customFormat="1" x14ac:dyDescent="0.2">
      <c r="A16" s="3" t="s">
        <v>46</v>
      </c>
      <c r="B16" s="1" t="s">
        <v>626</v>
      </c>
      <c r="C16" s="1">
        <v>92.35</v>
      </c>
      <c r="D16" s="1">
        <v>0</v>
      </c>
      <c r="E16" s="1">
        <v>0</v>
      </c>
      <c r="F16" s="1">
        <v>0</v>
      </c>
      <c r="G16" s="1">
        <v>5</v>
      </c>
      <c r="H16" s="1">
        <v>0</v>
      </c>
      <c r="I16" s="1">
        <v>0</v>
      </c>
      <c r="J16" s="1">
        <v>0.25</v>
      </c>
      <c r="K16" s="1">
        <v>0.3</v>
      </c>
      <c r="L16" s="1">
        <v>0</v>
      </c>
      <c r="M16" s="1">
        <v>0</v>
      </c>
      <c r="N16" s="1">
        <v>0.1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3">
        <v>285</v>
      </c>
      <c r="AI16" s="3">
        <v>325</v>
      </c>
      <c r="AJ16" s="3">
        <v>23</v>
      </c>
    </row>
    <row r="17" spans="1:36" s="3" customFormat="1" x14ac:dyDescent="0.2">
      <c r="A17" s="3" t="s">
        <v>47</v>
      </c>
      <c r="B17" s="1" t="s">
        <v>626</v>
      </c>
      <c r="C17" s="1">
        <v>92.35</v>
      </c>
      <c r="D17" s="1">
        <v>0</v>
      </c>
      <c r="E17" s="1">
        <v>0</v>
      </c>
      <c r="F17" s="1">
        <v>0</v>
      </c>
      <c r="G17" s="1">
        <v>5</v>
      </c>
      <c r="H17" s="1">
        <v>0</v>
      </c>
      <c r="I17" s="1">
        <v>0</v>
      </c>
      <c r="J17" s="1">
        <v>0.25</v>
      </c>
      <c r="K17" s="1">
        <v>0.3</v>
      </c>
      <c r="L17" s="1">
        <v>0</v>
      </c>
      <c r="M17" s="1">
        <v>0</v>
      </c>
      <c r="N17" s="1">
        <v>0.1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3">
        <v>305</v>
      </c>
      <c r="AI17" s="3">
        <v>330</v>
      </c>
      <c r="AJ17" s="3">
        <v>24.5</v>
      </c>
    </row>
    <row r="18" spans="1:36" s="3" customFormat="1" x14ac:dyDescent="0.2">
      <c r="A18" s="3" t="s">
        <v>48</v>
      </c>
      <c r="B18" s="1" t="s">
        <v>626</v>
      </c>
      <c r="C18" s="1">
        <v>92.35</v>
      </c>
      <c r="D18" s="1">
        <v>0</v>
      </c>
      <c r="E18" s="1">
        <v>0</v>
      </c>
      <c r="F18" s="1">
        <v>0</v>
      </c>
      <c r="G18" s="1">
        <v>5</v>
      </c>
      <c r="H18" s="1">
        <v>0</v>
      </c>
      <c r="I18" s="1">
        <v>0</v>
      </c>
      <c r="J18" s="1">
        <v>0.25</v>
      </c>
      <c r="K18" s="1">
        <v>0.3</v>
      </c>
      <c r="L18" s="1">
        <v>0</v>
      </c>
      <c r="M18" s="1">
        <v>0</v>
      </c>
      <c r="N18" s="1">
        <v>0.1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3">
        <v>315</v>
      </c>
      <c r="AI18" s="3">
        <v>345</v>
      </c>
      <c r="AJ18" s="3">
        <v>20.5</v>
      </c>
    </row>
    <row r="19" spans="1:36" s="3" customFormat="1" x14ac:dyDescent="0.2">
      <c r="A19" s="3" t="s">
        <v>49</v>
      </c>
      <c r="B19" s="1" t="s">
        <v>626</v>
      </c>
      <c r="C19" s="1">
        <v>92.35</v>
      </c>
      <c r="D19" s="1">
        <v>0</v>
      </c>
      <c r="E19" s="1">
        <v>0</v>
      </c>
      <c r="F19" s="1">
        <v>0</v>
      </c>
      <c r="G19" s="1">
        <v>5</v>
      </c>
      <c r="H19" s="1">
        <v>0</v>
      </c>
      <c r="I19" s="1">
        <v>0</v>
      </c>
      <c r="J19" s="1">
        <v>0.25</v>
      </c>
      <c r="K19" s="1">
        <v>0.3</v>
      </c>
      <c r="L19" s="1">
        <v>0</v>
      </c>
      <c r="M19" s="1">
        <v>0</v>
      </c>
      <c r="N19" s="1">
        <v>0.1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3">
        <v>230</v>
      </c>
      <c r="AI19" s="3">
        <v>295</v>
      </c>
      <c r="AJ19" s="3">
        <v>23.5</v>
      </c>
    </row>
    <row r="20" spans="1:36" s="3" customFormat="1" x14ac:dyDescent="0.2">
      <c r="A20" s="3" t="s">
        <v>50</v>
      </c>
      <c r="B20" s="1" t="s">
        <v>626</v>
      </c>
      <c r="C20" s="1">
        <v>92.35</v>
      </c>
      <c r="D20" s="1">
        <v>0</v>
      </c>
      <c r="E20" s="1">
        <v>0</v>
      </c>
      <c r="F20" s="1">
        <v>0</v>
      </c>
      <c r="G20" s="1">
        <v>5</v>
      </c>
      <c r="H20" s="1">
        <v>0</v>
      </c>
      <c r="I20" s="1">
        <v>0</v>
      </c>
      <c r="J20" s="1">
        <v>0.25</v>
      </c>
      <c r="K20" s="1">
        <v>0.3</v>
      </c>
      <c r="L20" s="1">
        <v>0</v>
      </c>
      <c r="M20" s="1">
        <v>0</v>
      </c>
      <c r="N20" s="1">
        <v>0.1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3">
        <v>260</v>
      </c>
      <c r="AI20" s="3">
        <v>300</v>
      </c>
      <c r="AJ20" s="3">
        <v>21.5</v>
      </c>
    </row>
    <row r="21" spans="1:36" s="3" customFormat="1" x14ac:dyDescent="0.2">
      <c r="A21" s="3" t="s">
        <v>51</v>
      </c>
      <c r="B21" s="1" t="s">
        <v>626</v>
      </c>
      <c r="C21" s="1">
        <v>92.35</v>
      </c>
      <c r="D21" s="1">
        <v>0</v>
      </c>
      <c r="E21" s="1">
        <v>0</v>
      </c>
      <c r="F21" s="1">
        <v>0</v>
      </c>
      <c r="G21" s="1">
        <v>5</v>
      </c>
      <c r="H21" s="1">
        <v>0</v>
      </c>
      <c r="I21" s="1">
        <v>0</v>
      </c>
      <c r="J21" s="1">
        <v>0.25</v>
      </c>
      <c r="K21" s="1">
        <v>0.3</v>
      </c>
      <c r="L21" s="1">
        <v>0</v>
      </c>
      <c r="M21" s="1">
        <v>0</v>
      </c>
      <c r="N21" s="1">
        <v>0.1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3">
        <v>275</v>
      </c>
      <c r="AI21" s="3">
        <v>315</v>
      </c>
      <c r="AJ21" s="3">
        <v>22</v>
      </c>
    </row>
    <row r="22" spans="1:36" s="3" customFormat="1" x14ac:dyDescent="0.2">
      <c r="A22" s="3" t="s">
        <v>52</v>
      </c>
      <c r="B22" s="1" t="s">
        <v>626</v>
      </c>
      <c r="C22" s="1">
        <v>85.9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0.4</v>
      </c>
      <c r="L22" s="1">
        <v>0</v>
      </c>
      <c r="M22" s="1">
        <v>0</v>
      </c>
      <c r="N22" s="1">
        <v>0</v>
      </c>
      <c r="O22" s="1">
        <v>0</v>
      </c>
      <c r="P22" s="1">
        <v>11.8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1.9</v>
      </c>
      <c r="AF22" s="1">
        <v>0</v>
      </c>
      <c r="AG22" s="1">
        <v>0</v>
      </c>
      <c r="AH22" s="3">
        <v>455</v>
      </c>
      <c r="AI22" s="3">
        <v>500</v>
      </c>
      <c r="AJ22" s="3">
        <v>12</v>
      </c>
    </row>
    <row r="23" spans="1:36" s="3" customFormat="1" x14ac:dyDescent="0.2">
      <c r="A23" s="3" t="s">
        <v>53</v>
      </c>
      <c r="B23" s="1" t="s">
        <v>626</v>
      </c>
      <c r="C23" s="1">
        <v>97</v>
      </c>
      <c r="D23" s="1">
        <v>0</v>
      </c>
      <c r="E23" s="1">
        <v>0</v>
      </c>
      <c r="F23" s="1">
        <v>0</v>
      </c>
      <c r="G23" s="1">
        <v>2.5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0.5</v>
      </c>
      <c r="AF23" s="1">
        <v>0</v>
      </c>
      <c r="AG23" s="1">
        <v>0</v>
      </c>
      <c r="AH23" s="3">
        <v>305</v>
      </c>
      <c r="AI23" s="3">
        <v>341</v>
      </c>
      <c r="AJ23" s="3">
        <v>17.899999999999999</v>
      </c>
    </row>
    <row r="24" spans="1:36" s="3" customFormat="1" x14ac:dyDescent="0.2">
      <c r="A24" s="3" t="s">
        <v>55</v>
      </c>
      <c r="B24" s="1" t="s">
        <v>625</v>
      </c>
      <c r="C24" s="1">
        <v>93.9</v>
      </c>
      <c r="D24" s="1">
        <v>0</v>
      </c>
      <c r="E24" s="1">
        <v>0</v>
      </c>
      <c r="F24" s="1">
        <v>0</v>
      </c>
      <c r="G24" s="1">
        <v>2.2000000000000002</v>
      </c>
      <c r="H24" s="1">
        <v>0</v>
      </c>
      <c r="I24" s="1">
        <v>0</v>
      </c>
      <c r="J24" s="1">
        <v>0</v>
      </c>
      <c r="K24" s="1">
        <v>0.7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3.2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3">
        <v>90</v>
      </c>
      <c r="AI24" s="3">
        <v>185</v>
      </c>
      <c r="AJ24" s="3">
        <v>4</v>
      </c>
    </row>
    <row r="25" spans="1:36" s="3" customFormat="1" x14ac:dyDescent="0.2">
      <c r="A25" s="3" t="s">
        <v>56</v>
      </c>
      <c r="B25" s="1" t="s">
        <v>625</v>
      </c>
      <c r="C25" s="1">
        <v>91.65</v>
      </c>
      <c r="D25" s="1">
        <v>0</v>
      </c>
      <c r="E25" s="1">
        <v>0</v>
      </c>
      <c r="F25" s="1">
        <v>0</v>
      </c>
      <c r="G25" s="1">
        <v>5.7</v>
      </c>
      <c r="H25" s="1">
        <v>0</v>
      </c>
      <c r="I25" s="1">
        <v>0</v>
      </c>
      <c r="J25" s="1">
        <v>0</v>
      </c>
      <c r="K25" s="1">
        <v>0.75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0.1</v>
      </c>
      <c r="R25" s="1">
        <v>0</v>
      </c>
      <c r="S25" s="1">
        <v>0</v>
      </c>
      <c r="T25" s="1">
        <v>0</v>
      </c>
      <c r="U25" s="1">
        <v>1.8000000000000003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3">
        <v>200</v>
      </c>
      <c r="AI25" s="3">
        <v>240</v>
      </c>
      <c r="AJ25" s="3">
        <v>4</v>
      </c>
    </row>
    <row r="26" spans="1:36" s="3" customFormat="1" x14ac:dyDescent="0.2">
      <c r="A26" s="3" t="s">
        <v>57</v>
      </c>
      <c r="B26" s="1" t="s">
        <v>628</v>
      </c>
      <c r="C26" s="1">
        <v>95.65</v>
      </c>
      <c r="D26" s="1">
        <v>0</v>
      </c>
      <c r="E26" s="1">
        <v>0</v>
      </c>
      <c r="F26" s="1">
        <v>0</v>
      </c>
      <c r="G26" s="1">
        <v>0.3</v>
      </c>
      <c r="H26" s="1">
        <v>0</v>
      </c>
      <c r="I26" s="1">
        <v>0</v>
      </c>
      <c r="J26" s="1">
        <v>0</v>
      </c>
      <c r="K26" s="1">
        <v>0.7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0.1</v>
      </c>
      <c r="R26" s="1">
        <v>0</v>
      </c>
      <c r="S26" s="1">
        <v>0</v>
      </c>
      <c r="T26" s="1">
        <v>0</v>
      </c>
      <c r="U26" s="1">
        <v>3.25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3">
        <v>180</v>
      </c>
      <c r="AI26" s="3">
        <v>260</v>
      </c>
      <c r="AJ26" s="3">
        <v>15</v>
      </c>
    </row>
    <row r="27" spans="1:36" s="3" customFormat="1" x14ac:dyDescent="0.2">
      <c r="A27" s="3" t="s">
        <v>58</v>
      </c>
      <c r="B27" s="1" t="s">
        <v>628</v>
      </c>
      <c r="C27" s="1">
        <v>95.65</v>
      </c>
      <c r="D27" s="1">
        <v>0</v>
      </c>
      <c r="E27" s="1">
        <v>0</v>
      </c>
      <c r="F27" s="1">
        <v>0</v>
      </c>
      <c r="G27" s="1">
        <v>0.3</v>
      </c>
      <c r="H27" s="1">
        <v>0</v>
      </c>
      <c r="I27" s="1">
        <v>0</v>
      </c>
      <c r="J27" s="1">
        <v>0</v>
      </c>
      <c r="K27" s="1">
        <v>0.7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0.1</v>
      </c>
      <c r="R27" s="1">
        <v>0</v>
      </c>
      <c r="S27" s="1">
        <v>0</v>
      </c>
      <c r="T27" s="1">
        <v>0</v>
      </c>
      <c r="U27" s="1">
        <v>3.25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3">
        <v>120</v>
      </c>
      <c r="AI27" s="3">
        <v>200</v>
      </c>
      <c r="AJ27" s="3">
        <v>30</v>
      </c>
    </row>
    <row r="28" spans="1:36" s="3" customFormat="1" x14ac:dyDescent="0.2">
      <c r="A28" s="3" t="s">
        <v>59</v>
      </c>
      <c r="B28" s="1" t="s">
        <v>625</v>
      </c>
      <c r="C28" s="1">
        <v>95.65</v>
      </c>
      <c r="D28" s="1">
        <v>0</v>
      </c>
      <c r="E28" s="1">
        <v>0</v>
      </c>
      <c r="F28" s="1">
        <v>0</v>
      </c>
      <c r="G28" s="1">
        <v>0.3</v>
      </c>
      <c r="H28" s="1">
        <v>0</v>
      </c>
      <c r="I28" s="1">
        <v>0</v>
      </c>
      <c r="J28" s="1">
        <v>0</v>
      </c>
      <c r="K28" s="1">
        <v>0.7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0.1</v>
      </c>
      <c r="R28" s="1">
        <v>0</v>
      </c>
      <c r="S28" s="1">
        <v>0</v>
      </c>
      <c r="T28" s="1">
        <v>0</v>
      </c>
      <c r="U28" s="1">
        <v>3.25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3">
        <v>120</v>
      </c>
      <c r="AI28" s="3">
        <v>220</v>
      </c>
      <c r="AJ28" s="3">
        <v>8</v>
      </c>
    </row>
    <row r="29" spans="1:36" s="3" customFormat="1" x14ac:dyDescent="0.2">
      <c r="A29" s="3" t="s">
        <v>60</v>
      </c>
      <c r="B29" s="1" t="s">
        <v>627</v>
      </c>
      <c r="C29" s="1">
        <v>95.8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3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3">
        <v>230</v>
      </c>
      <c r="AI29" s="3">
        <v>290</v>
      </c>
      <c r="AJ29" s="3">
        <v>10</v>
      </c>
    </row>
    <row r="30" spans="1:36" s="3" customFormat="1" x14ac:dyDescent="0.2">
      <c r="A30" s="3" t="s">
        <v>61</v>
      </c>
      <c r="B30" s="1" t="s">
        <v>626</v>
      </c>
      <c r="C30" s="1">
        <v>95.8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1.2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3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3">
        <v>270</v>
      </c>
      <c r="AI30" s="3">
        <v>300</v>
      </c>
      <c r="AJ30" s="3">
        <v>10</v>
      </c>
    </row>
    <row r="31" spans="1:36" s="3" customFormat="1" x14ac:dyDescent="0.2">
      <c r="A31" s="3" t="s">
        <v>62</v>
      </c>
      <c r="B31" s="1" t="s">
        <v>625</v>
      </c>
      <c r="C31" s="1">
        <v>94.8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0.7</v>
      </c>
      <c r="L31" s="1">
        <v>2.5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3">
        <v>185</v>
      </c>
      <c r="AI31" s="3">
        <v>240</v>
      </c>
      <c r="AJ31" s="3">
        <v>2</v>
      </c>
    </row>
    <row r="32" spans="1:36" s="3" customFormat="1" x14ac:dyDescent="0.2">
      <c r="A32" s="3" t="s">
        <v>63</v>
      </c>
      <c r="B32" s="1" t="s">
        <v>628</v>
      </c>
      <c r="C32" s="1">
        <v>95.8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1.2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3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3">
        <v>230</v>
      </c>
      <c r="AI32" s="3">
        <v>283</v>
      </c>
      <c r="AJ32" s="3">
        <v>10</v>
      </c>
    </row>
    <row r="33" spans="1:36" s="3" customFormat="1" x14ac:dyDescent="0.2">
      <c r="A33" s="3" t="s">
        <v>64</v>
      </c>
      <c r="B33" s="1" t="s">
        <v>626</v>
      </c>
      <c r="C33" s="1">
        <v>96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3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3">
        <v>270</v>
      </c>
      <c r="AI33" s="3">
        <v>300</v>
      </c>
      <c r="AJ33" s="3">
        <v>10</v>
      </c>
    </row>
    <row r="34" spans="1:36" s="3" customFormat="1" x14ac:dyDescent="0.2">
      <c r="A34" s="3" t="s">
        <v>65</v>
      </c>
      <c r="B34" s="1" t="s">
        <v>628</v>
      </c>
      <c r="C34" s="1">
        <v>97.2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0.8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3">
        <v>135</v>
      </c>
      <c r="AI34" s="3">
        <v>215</v>
      </c>
      <c r="AJ34" s="3">
        <v>6</v>
      </c>
    </row>
    <row r="35" spans="1:36" s="3" customFormat="1" x14ac:dyDescent="0.2">
      <c r="A35" s="3" t="s">
        <v>65</v>
      </c>
      <c r="B35" s="1" t="s">
        <v>625</v>
      </c>
      <c r="C35" s="1">
        <v>97.2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0.8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3">
        <v>180</v>
      </c>
      <c r="AI35" s="3">
        <v>255</v>
      </c>
      <c r="AJ35" s="3">
        <v>4</v>
      </c>
    </row>
    <row r="36" spans="1:36" s="3" customFormat="1" x14ac:dyDescent="0.2">
      <c r="A36" s="3" t="s">
        <v>54</v>
      </c>
      <c r="B36" s="1" t="s">
        <v>628</v>
      </c>
      <c r="C36" s="1">
        <v>96.1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3.2</v>
      </c>
      <c r="R36" s="1">
        <v>0</v>
      </c>
      <c r="S36" s="1">
        <v>0</v>
      </c>
      <c r="T36" s="1">
        <v>0</v>
      </c>
      <c r="U36" s="1">
        <v>0.7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3">
        <v>170</v>
      </c>
      <c r="AI36" s="3">
        <v>230</v>
      </c>
      <c r="AJ36" s="3">
        <v>4</v>
      </c>
    </row>
    <row r="37" spans="1:36" s="3" customFormat="1" x14ac:dyDescent="0.2">
      <c r="A37" s="3" t="s">
        <v>54</v>
      </c>
      <c r="B37" s="1" t="s">
        <v>626</v>
      </c>
      <c r="C37" s="1">
        <v>96.1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3.2</v>
      </c>
      <c r="R37" s="1">
        <v>0</v>
      </c>
      <c r="S37" s="1">
        <v>0</v>
      </c>
      <c r="T37" s="1">
        <v>0</v>
      </c>
      <c r="U37" s="1">
        <v>0.7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3">
        <v>180</v>
      </c>
      <c r="AI37" s="3">
        <v>255</v>
      </c>
      <c r="AJ37" s="3">
        <v>4</v>
      </c>
    </row>
    <row r="38" spans="1:36" s="3" customFormat="1" x14ac:dyDescent="0.2">
      <c r="A38" s="3" t="s">
        <v>66</v>
      </c>
      <c r="B38" s="1" t="s">
        <v>625</v>
      </c>
      <c r="C38" s="1">
        <v>93.7</v>
      </c>
      <c r="D38" s="1">
        <v>0</v>
      </c>
      <c r="E38" s="1">
        <v>0.1</v>
      </c>
      <c r="F38" s="1">
        <v>0</v>
      </c>
      <c r="G38" s="1">
        <v>2.1</v>
      </c>
      <c r="H38" s="1">
        <v>0</v>
      </c>
      <c r="I38" s="1">
        <v>0</v>
      </c>
      <c r="J38" s="1">
        <v>0</v>
      </c>
      <c r="K38" s="1">
        <v>0.75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0.1</v>
      </c>
      <c r="R38" s="1">
        <v>0</v>
      </c>
      <c r="S38" s="1">
        <v>0</v>
      </c>
      <c r="T38" s="1">
        <v>0</v>
      </c>
      <c r="U38" s="1">
        <v>3.25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3">
        <v>90</v>
      </c>
      <c r="AI38" s="3">
        <v>185</v>
      </c>
      <c r="AJ38" s="3">
        <v>4</v>
      </c>
    </row>
    <row r="39" spans="1:36" s="3" customFormat="1" x14ac:dyDescent="0.2">
      <c r="A39" s="3" t="s">
        <v>67</v>
      </c>
      <c r="B39" s="1" t="s">
        <v>625</v>
      </c>
      <c r="C39" s="1">
        <v>94.35</v>
      </c>
      <c r="D39" s="1">
        <v>1.05</v>
      </c>
      <c r="E39" s="1">
        <v>0</v>
      </c>
      <c r="F39" s="1">
        <v>0</v>
      </c>
      <c r="G39" s="1">
        <v>0.2</v>
      </c>
      <c r="H39" s="1">
        <v>0</v>
      </c>
      <c r="I39" s="1">
        <v>0</v>
      </c>
      <c r="J39" s="1">
        <v>0</v>
      </c>
      <c r="K39" s="1">
        <v>0.7</v>
      </c>
      <c r="L39" s="1">
        <v>2.5</v>
      </c>
      <c r="M39" s="1">
        <v>0</v>
      </c>
      <c r="N39" s="1">
        <v>0</v>
      </c>
      <c r="O39" s="1">
        <v>0</v>
      </c>
      <c r="P39" s="1">
        <v>0</v>
      </c>
      <c r="Q39" s="1">
        <v>0.1</v>
      </c>
      <c r="R39" s="1">
        <v>0</v>
      </c>
      <c r="S39" s="1">
        <v>0</v>
      </c>
      <c r="T39" s="1">
        <v>0</v>
      </c>
      <c r="U39" s="1">
        <v>1.1000000000000001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3">
        <v>205</v>
      </c>
      <c r="AI39" s="3">
        <v>275</v>
      </c>
      <c r="AJ39" s="3">
        <v>4</v>
      </c>
    </row>
    <row r="40" spans="1:36" s="3" customFormat="1" x14ac:dyDescent="0.2">
      <c r="A40" s="3" t="s">
        <v>68</v>
      </c>
      <c r="B40" s="1" t="s">
        <v>626</v>
      </c>
      <c r="C40" s="1">
        <v>98</v>
      </c>
      <c r="D40" s="1">
        <v>0</v>
      </c>
      <c r="E40" s="1">
        <v>0</v>
      </c>
      <c r="F40" s="1">
        <v>0</v>
      </c>
      <c r="G40" s="1">
        <v>0.6</v>
      </c>
      <c r="H40" s="1">
        <v>0</v>
      </c>
      <c r="I40" s="1">
        <v>0</v>
      </c>
      <c r="J40" s="1">
        <v>0</v>
      </c>
      <c r="K40" s="1">
        <v>0.6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0.8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3">
        <v>120</v>
      </c>
      <c r="AI40" s="3">
        <v>215</v>
      </c>
      <c r="AJ40" s="3">
        <v>7</v>
      </c>
    </row>
    <row r="41" spans="1:36" s="3" customFormat="1" x14ac:dyDescent="0.2">
      <c r="A41" s="3" t="s">
        <v>68</v>
      </c>
      <c r="B41" s="1" t="s">
        <v>628</v>
      </c>
      <c r="C41" s="1">
        <v>98</v>
      </c>
      <c r="D41" s="1">
        <v>0</v>
      </c>
      <c r="E41" s="1">
        <v>0</v>
      </c>
      <c r="F41" s="1">
        <v>0</v>
      </c>
      <c r="G41" s="1">
        <v>0.6</v>
      </c>
      <c r="H41" s="1">
        <v>0</v>
      </c>
      <c r="I41" s="1">
        <v>0</v>
      </c>
      <c r="J41" s="1">
        <v>0</v>
      </c>
      <c r="K41" s="1">
        <v>0.6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0.8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3">
        <v>130</v>
      </c>
      <c r="AI41" s="3">
        <v>230</v>
      </c>
      <c r="AJ41" s="3">
        <v>6</v>
      </c>
    </row>
    <row r="42" spans="1:36" s="3" customFormat="1" x14ac:dyDescent="0.2">
      <c r="A42" s="3" t="s">
        <v>69</v>
      </c>
      <c r="B42" s="1" t="s">
        <v>628</v>
      </c>
      <c r="C42" s="1">
        <v>97.224999999999994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0.77500000000000002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2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3">
        <v>140</v>
      </c>
      <c r="AI42" s="3">
        <v>230</v>
      </c>
      <c r="AJ42" s="3">
        <v>15</v>
      </c>
    </row>
    <row r="43" spans="1:36" s="3" customFormat="1" x14ac:dyDescent="0.2">
      <c r="A43" s="3" t="s">
        <v>70</v>
      </c>
      <c r="B43" s="1" t="s">
        <v>628</v>
      </c>
      <c r="C43" s="1">
        <v>97.224999999999994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0.77500000000000002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3">
        <v>150</v>
      </c>
      <c r="AI43" s="3">
        <v>230</v>
      </c>
      <c r="AJ43" s="3">
        <v>9</v>
      </c>
    </row>
    <row r="44" spans="1:36" s="3" customFormat="1" x14ac:dyDescent="0.2">
      <c r="A44" s="3" t="s">
        <v>71</v>
      </c>
      <c r="B44" s="1" t="s">
        <v>628</v>
      </c>
      <c r="C44" s="1">
        <v>97.224999999999994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0.77500000000000002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2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3">
        <v>150</v>
      </c>
      <c r="AI44" s="3">
        <v>230</v>
      </c>
      <c r="AJ44" s="3">
        <v>11</v>
      </c>
    </row>
    <row r="45" spans="1:36" s="3" customFormat="1" x14ac:dyDescent="0.2">
      <c r="A45" s="3" t="s">
        <v>72</v>
      </c>
      <c r="B45" s="1" t="s">
        <v>628</v>
      </c>
      <c r="C45" s="1">
        <v>97.224999999999994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0.77500000000000002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3">
        <v>210</v>
      </c>
      <c r="AI45" s="3">
        <v>260</v>
      </c>
      <c r="AJ45" s="3">
        <v>6</v>
      </c>
    </row>
    <row r="46" spans="1:36" s="3" customFormat="1" ht="16" customHeight="1" x14ac:dyDescent="0.2">
      <c r="A46" s="3" t="s">
        <v>73</v>
      </c>
      <c r="B46" s="1" t="s">
        <v>627</v>
      </c>
      <c r="C46" s="1">
        <f xml:space="preserve"> 100 - SUM(D46:AG46)</f>
        <v>97.378399999999999</v>
      </c>
      <c r="D46" s="1">
        <v>1.38</v>
      </c>
      <c r="E46" s="1">
        <v>0.01</v>
      </c>
      <c r="F46" s="1">
        <v>0.01</v>
      </c>
      <c r="G46" s="1">
        <v>1.1499999999999999</v>
      </c>
      <c r="H46" s="1">
        <v>0</v>
      </c>
      <c r="I46" s="1">
        <v>0.05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1.6999999999999999E-3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0.01</v>
      </c>
      <c r="X46" s="1">
        <v>0</v>
      </c>
      <c r="Y46" s="1">
        <v>5.9999999999999995E-4</v>
      </c>
      <c r="Z46" s="1">
        <v>9.1999999999999998E-3</v>
      </c>
      <c r="AA46" s="1">
        <v>9.9999999999999991E-5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3">
        <v>105.5</v>
      </c>
      <c r="AI46" s="3">
        <v>114.8</v>
      </c>
      <c r="AJ46" s="3">
        <v>2</v>
      </c>
    </row>
    <row r="47" spans="1:36" s="3" customFormat="1" x14ac:dyDescent="0.2">
      <c r="A47" s="3" t="s">
        <v>74</v>
      </c>
      <c r="B47" s="1" t="s">
        <v>627</v>
      </c>
      <c r="C47" s="1">
        <f t="shared" ref="C47:C67" si="0" xml:space="preserve"> 100 - SUM(D47:AG47)</f>
        <v>95.952600000000004</v>
      </c>
      <c r="D47" s="1">
        <v>3.42</v>
      </c>
      <c r="E47" s="1">
        <v>0.03</v>
      </c>
      <c r="F47" s="1">
        <v>0.01</v>
      </c>
      <c r="G47" s="1">
        <v>0.48</v>
      </c>
      <c r="H47" s="1">
        <v>0</v>
      </c>
      <c r="I47" s="1">
        <v>0.09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1.5999999999999999E-3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0.01</v>
      </c>
      <c r="X47" s="1">
        <v>0</v>
      </c>
      <c r="Y47" s="1">
        <v>1.9999999999999998E-4</v>
      </c>
      <c r="Z47" s="1">
        <v>5.4999999999999997E-3</v>
      </c>
      <c r="AA47" s="1">
        <v>9.9999999999999991E-5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3">
        <v>138</v>
      </c>
      <c r="AI47" s="3">
        <v>173</v>
      </c>
      <c r="AJ47" s="3">
        <v>6.3</v>
      </c>
    </row>
    <row r="48" spans="1:36" s="3" customFormat="1" x14ac:dyDescent="0.2">
      <c r="A48" s="3" t="s">
        <v>75</v>
      </c>
      <c r="B48" s="1" t="s">
        <v>627</v>
      </c>
      <c r="C48" s="1">
        <f t="shared" si="0"/>
        <v>93.070700000000002</v>
      </c>
      <c r="D48" s="1">
        <v>6.75</v>
      </c>
      <c r="E48" s="1">
        <v>0.06</v>
      </c>
      <c r="F48" s="1">
        <v>0.01</v>
      </c>
      <c r="G48" s="1">
        <v>0</v>
      </c>
      <c r="H48" s="1">
        <v>0</v>
      </c>
      <c r="I48" s="1">
        <v>0.09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1.5999999999999999E-3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0.01</v>
      </c>
      <c r="X48" s="1">
        <v>0</v>
      </c>
      <c r="Y48" s="1">
        <v>1.9999999999999998E-4</v>
      </c>
      <c r="Z48" s="1">
        <v>7.4000000000000012E-3</v>
      </c>
      <c r="AA48" s="1">
        <v>9.9999999999999991E-5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3">
        <v>179.2</v>
      </c>
      <c r="AI48" s="3">
        <v>199.5</v>
      </c>
      <c r="AJ48" s="3">
        <v>5.2</v>
      </c>
    </row>
    <row r="49" spans="1:36" s="3" customFormat="1" x14ac:dyDescent="0.2">
      <c r="A49" s="3" t="s">
        <v>76</v>
      </c>
      <c r="B49" s="1" t="s">
        <v>627</v>
      </c>
      <c r="C49" s="1">
        <f t="shared" si="0"/>
        <v>96.074200000000005</v>
      </c>
      <c r="D49" s="1">
        <v>1.6500000000000001</v>
      </c>
      <c r="E49" s="1">
        <v>1.67</v>
      </c>
      <c r="F49" s="1">
        <v>0.53</v>
      </c>
      <c r="G49" s="1">
        <v>0</v>
      </c>
      <c r="H49" s="1">
        <v>0</v>
      </c>
      <c r="I49" s="1">
        <v>0.06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1.1000000000000001E-3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0.01</v>
      </c>
      <c r="X49" s="1">
        <v>0</v>
      </c>
      <c r="Y49" s="1">
        <v>1.9999999999999998E-4</v>
      </c>
      <c r="Z49" s="1">
        <v>4.4000000000000003E-3</v>
      </c>
      <c r="AA49" s="1">
        <v>9.9999999999999991E-5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3">
        <v>164.4</v>
      </c>
      <c r="AI49" s="3">
        <v>180.1</v>
      </c>
      <c r="AJ49" s="3">
        <v>3.9</v>
      </c>
    </row>
    <row r="50" spans="1:36" s="3" customFormat="1" x14ac:dyDescent="0.2">
      <c r="A50" s="3" t="s">
        <v>77</v>
      </c>
      <c r="B50" s="1" t="s">
        <v>627</v>
      </c>
      <c r="C50" s="1">
        <f t="shared" si="0"/>
        <v>98.421999999999997</v>
      </c>
      <c r="D50" s="1">
        <v>1.5</v>
      </c>
      <c r="E50" s="1">
        <v>0.01</v>
      </c>
      <c r="F50" s="1">
        <v>0.01</v>
      </c>
      <c r="G50" s="1">
        <v>0</v>
      </c>
      <c r="H50" s="1">
        <v>0</v>
      </c>
      <c r="I50" s="1">
        <v>0.04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1.9000000000000002E-3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0.01</v>
      </c>
      <c r="X50" s="1">
        <v>0</v>
      </c>
      <c r="Y50" s="1">
        <v>9.9999999999999991E-5</v>
      </c>
      <c r="Z50" s="1">
        <v>5.8999999999999999E-3</v>
      </c>
      <c r="AA50" s="1">
        <v>9.9999999999999991E-5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3">
        <v>100</v>
      </c>
      <c r="AI50" s="3">
        <v>123.8</v>
      </c>
      <c r="AJ50" s="3">
        <v>4.5</v>
      </c>
    </row>
    <row r="51" spans="1:36" s="3" customFormat="1" x14ac:dyDescent="0.2">
      <c r="A51" s="4" t="s">
        <v>78</v>
      </c>
      <c r="B51" s="1" t="s">
        <v>627</v>
      </c>
      <c r="C51" s="1">
        <f t="shared" si="0"/>
        <v>98.731700000000004</v>
      </c>
      <c r="D51" s="1">
        <v>1.18</v>
      </c>
      <c r="E51" s="1">
        <v>0.01</v>
      </c>
      <c r="F51" s="1">
        <v>0.01</v>
      </c>
      <c r="G51" s="1">
        <v>0</v>
      </c>
      <c r="H51" s="1">
        <v>0</v>
      </c>
      <c r="I51" s="1">
        <v>0.05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0.01</v>
      </c>
      <c r="X51" s="1">
        <v>0</v>
      </c>
      <c r="Y51" s="1">
        <v>9.9999999999999991E-5</v>
      </c>
      <c r="Z51" s="1">
        <v>6.1000000000000004E-3</v>
      </c>
      <c r="AA51" s="1">
        <v>9.9999999999999991E-5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3">
        <v>90.9</v>
      </c>
      <c r="AI51" s="3">
        <v>122.3</v>
      </c>
      <c r="AJ51" s="3">
        <v>5.3</v>
      </c>
    </row>
    <row r="52" spans="1:36" s="3" customFormat="1" x14ac:dyDescent="0.2">
      <c r="A52" s="3" t="s">
        <v>79</v>
      </c>
      <c r="B52" s="1" t="s">
        <v>627</v>
      </c>
      <c r="C52" s="1">
        <f t="shared" si="0"/>
        <v>96.611999999999995</v>
      </c>
      <c r="D52" s="1">
        <v>0.48</v>
      </c>
      <c r="E52" s="1">
        <v>2.34</v>
      </c>
      <c r="F52" s="1">
        <v>0.51</v>
      </c>
      <c r="G52" s="1">
        <v>0</v>
      </c>
      <c r="H52" s="1">
        <v>0</v>
      </c>
      <c r="I52" s="1">
        <v>0.04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1.1000000000000001E-3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0.01</v>
      </c>
      <c r="X52" s="1">
        <v>0</v>
      </c>
      <c r="Y52" s="1">
        <v>1.9999999999999998E-4</v>
      </c>
      <c r="Z52" s="1">
        <v>6.6000000000000008E-3</v>
      </c>
      <c r="AA52" s="1">
        <v>9.9999999999999991E-5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3">
        <v>157.19999999999999</v>
      </c>
      <c r="AI52" s="3">
        <v>167.8</v>
      </c>
      <c r="AJ52" s="3">
        <v>2</v>
      </c>
    </row>
    <row r="53" spans="1:36" s="3" customFormat="1" x14ac:dyDescent="0.2">
      <c r="A53" s="3" t="s">
        <v>80</v>
      </c>
      <c r="B53" s="1" t="s">
        <v>627</v>
      </c>
      <c r="C53" s="1">
        <f t="shared" si="0"/>
        <v>96.337000000000003</v>
      </c>
      <c r="D53" s="1">
        <v>0.36</v>
      </c>
      <c r="E53" s="1">
        <v>2.64</v>
      </c>
      <c r="F53" s="1">
        <v>0.6</v>
      </c>
      <c r="G53" s="1">
        <v>0</v>
      </c>
      <c r="H53" s="1">
        <v>0</v>
      </c>
      <c r="I53" s="1">
        <v>0.04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1.9000000000000002E-3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0.01</v>
      </c>
      <c r="X53" s="1">
        <v>0</v>
      </c>
      <c r="Y53" s="1">
        <v>1.9999999999999998E-4</v>
      </c>
      <c r="Z53" s="1">
        <v>1.0800000000000001E-2</v>
      </c>
      <c r="AA53" s="1">
        <v>9.9999999999999991E-5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3">
        <v>157.30000000000001</v>
      </c>
      <c r="AI53" s="3">
        <v>166.8</v>
      </c>
      <c r="AJ53" s="3">
        <v>2.5</v>
      </c>
    </row>
    <row r="54" spans="1:36" s="3" customFormat="1" x14ac:dyDescent="0.2">
      <c r="A54" s="3" t="s">
        <v>81</v>
      </c>
      <c r="B54" s="1" t="s">
        <v>627</v>
      </c>
      <c r="C54" s="1">
        <f t="shared" si="0"/>
        <v>97.889799999999994</v>
      </c>
      <c r="D54" s="1">
        <v>1.47</v>
      </c>
      <c r="E54" s="1">
        <v>0.01</v>
      </c>
      <c r="F54" s="1">
        <v>0.01</v>
      </c>
      <c r="G54" s="1">
        <v>0.54</v>
      </c>
      <c r="H54" s="1">
        <v>0</v>
      </c>
      <c r="I54" s="1">
        <v>0.06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1.5999999999999999E-3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0.01</v>
      </c>
      <c r="X54" s="1">
        <v>0</v>
      </c>
      <c r="Y54" s="1">
        <v>3.9999999999999996E-4</v>
      </c>
      <c r="Z54" s="1">
        <v>8.0999999999999996E-3</v>
      </c>
      <c r="AA54" s="1">
        <v>9.9999999999999991E-5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3">
        <v>97.1</v>
      </c>
      <c r="AI54" s="3">
        <v>104.6</v>
      </c>
      <c r="AJ54" s="3">
        <v>1.2</v>
      </c>
    </row>
    <row r="55" spans="1:36" s="3" customFormat="1" x14ac:dyDescent="0.2">
      <c r="A55" s="3" t="s">
        <v>82</v>
      </c>
      <c r="B55" s="1" t="s">
        <v>627</v>
      </c>
      <c r="C55" s="1">
        <f t="shared" si="0"/>
        <v>96.262900000000002</v>
      </c>
      <c r="D55" s="1">
        <v>0.4</v>
      </c>
      <c r="E55" s="1">
        <v>0.51</v>
      </c>
      <c r="F55" s="1">
        <v>2.77</v>
      </c>
      <c r="G55" s="1">
        <v>0.01</v>
      </c>
      <c r="H55" s="1">
        <v>0</v>
      </c>
      <c r="I55" s="1">
        <v>0.03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1.1000000000000001E-3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0.01</v>
      </c>
      <c r="X55" s="1">
        <v>0</v>
      </c>
      <c r="Y55" s="1">
        <v>1.9999999999999998E-4</v>
      </c>
      <c r="Z55" s="1">
        <v>5.4999999999999997E-3</v>
      </c>
      <c r="AA55" s="1">
        <v>2.9999999999999997E-4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3">
        <v>165.1</v>
      </c>
      <c r="AI55" s="3">
        <v>184.3</v>
      </c>
      <c r="AJ55" s="3">
        <v>2.6</v>
      </c>
    </row>
    <row r="56" spans="1:36" s="3" customFormat="1" x14ac:dyDescent="0.2">
      <c r="A56" s="3" t="s">
        <v>83</v>
      </c>
      <c r="B56" s="1" t="s">
        <v>627</v>
      </c>
      <c r="C56" s="1">
        <f t="shared" si="0"/>
        <v>95.952299999999994</v>
      </c>
      <c r="D56" s="1">
        <v>0.90000000000000013</v>
      </c>
      <c r="E56" s="1">
        <v>1.21</v>
      </c>
      <c r="F56" s="1">
        <v>1.86</v>
      </c>
      <c r="G56" s="1">
        <v>0.01</v>
      </c>
      <c r="H56" s="1">
        <v>0</v>
      </c>
      <c r="I56" s="1">
        <v>0.05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1.4E-3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0.01</v>
      </c>
      <c r="X56" s="1">
        <v>0</v>
      </c>
      <c r="Y56" s="1">
        <v>1.9999999999999998E-4</v>
      </c>
      <c r="Z56" s="1">
        <v>5.8999999999999999E-3</v>
      </c>
      <c r="AA56" s="1">
        <v>1.9999999999999998E-4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3">
        <v>160.9</v>
      </c>
      <c r="AI56" s="3">
        <v>179.7</v>
      </c>
      <c r="AJ56" s="3">
        <v>3.3</v>
      </c>
    </row>
    <row r="57" spans="1:36" s="3" customFormat="1" x14ac:dyDescent="0.2">
      <c r="A57" s="3" t="s">
        <v>84</v>
      </c>
      <c r="B57" s="1" t="s">
        <v>627</v>
      </c>
      <c r="C57" s="1">
        <f t="shared" si="0"/>
        <v>96.348200000000006</v>
      </c>
      <c r="D57" s="1">
        <v>0.93999999999999984</v>
      </c>
      <c r="E57" s="1">
        <v>1.21</v>
      </c>
      <c r="F57" s="1">
        <v>1.43</v>
      </c>
      <c r="G57" s="1">
        <v>0</v>
      </c>
      <c r="H57" s="1">
        <v>0</v>
      </c>
      <c r="I57" s="1">
        <v>0.05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1.6999999999999999E-3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0.01</v>
      </c>
      <c r="X57" s="1">
        <v>0</v>
      </c>
      <c r="Y57" s="1">
        <v>3.9999999999999996E-4</v>
      </c>
      <c r="Z57" s="1">
        <v>9.4999999999999998E-3</v>
      </c>
      <c r="AA57" s="1">
        <v>1.9999999999999998E-4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3">
        <v>156.19999999999999</v>
      </c>
      <c r="AI57" s="3">
        <v>174.7</v>
      </c>
      <c r="AJ57" s="3">
        <v>3.6</v>
      </c>
    </row>
    <row r="58" spans="1:36" s="3" customFormat="1" x14ac:dyDescent="0.2">
      <c r="A58" s="3" t="s">
        <v>85</v>
      </c>
      <c r="B58" s="1" t="s">
        <v>627</v>
      </c>
      <c r="C58" s="1">
        <f t="shared" si="0"/>
        <v>96.083699999999993</v>
      </c>
      <c r="D58" s="1">
        <v>0.90000000000000013</v>
      </c>
      <c r="E58" s="1">
        <v>1.78</v>
      </c>
      <c r="F58" s="1">
        <v>1.1599999999999999</v>
      </c>
      <c r="G58" s="1">
        <v>0</v>
      </c>
      <c r="H58" s="1">
        <v>0</v>
      </c>
      <c r="I58" s="1">
        <v>0.06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1.4E-3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0.01</v>
      </c>
      <c r="X58" s="1">
        <v>0</v>
      </c>
      <c r="Y58" s="1">
        <v>9.9999999999999991E-5</v>
      </c>
      <c r="Z58" s="1">
        <v>4.5999999999999999E-3</v>
      </c>
      <c r="AA58" s="1">
        <v>1.9999999999999998E-4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3">
        <v>163</v>
      </c>
      <c r="AI58" s="3">
        <v>178</v>
      </c>
      <c r="AJ58" s="3">
        <v>3.3</v>
      </c>
    </row>
    <row r="59" spans="1:36" s="3" customFormat="1" x14ac:dyDescent="0.2">
      <c r="A59" s="3" t="s">
        <v>86</v>
      </c>
      <c r="B59" s="1" t="s">
        <v>627</v>
      </c>
      <c r="C59" s="1">
        <f t="shared" si="0"/>
        <v>99.092699999999994</v>
      </c>
      <c r="D59" s="1">
        <v>0.84</v>
      </c>
      <c r="E59" s="1">
        <v>0.01</v>
      </c>
      <c r="F59" s="1">
        <v>0.01</v>
      </c>
      <c r="G59" s="1">
        <v>0</v>
      </c>
      <c r="H59" s="1">
        <v>0</v>
      </c>
      <c r="I59" s="1">
        <v>0.03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0.01</v>
      </c>
      <c r="X59" s="1">
        <v>0</v>
      </c>
      <c r="Y59" s="1">
        <v>9.9999999999999991E-5</v>
      </c>
      <c r="Z59" s="1">
        <v>5.0000000000000001E-3</v>
      </c>
      <c r="AA59" s="1">
        <v>1.9999999999999998E-4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3">
        <v>90</v>
      </c>
      <c r="AI59" s="3">
        <v>164.9</v>
      </c>
      <c r="AJ59" s="3">
        <v>8.6</v>
      </c>
    </row>
    <row r="60" spans="1:36" s="3" customFormat="1" x14ac:dyDescent="0.2">
      <c r="A60" s="3" t="s">
        <v>87</v>
      </c>
      <c r="B60" s="1" t="s">
        <v>627</v>
      </c>
      <c r="C60" s="1">
        <f t="shared" si="0"/>
        <v>95.934399999999997</v>
      </c>
      <c r="D60" s="1">
        <v>0.01</v>
      </c>
      <c r="E60" s="1">
        <v>1.8900000000000001</v>
      </c>
      <c r="F60" s="1">
        <v>2.08</v>
      </c>
      <c r="G60" s="1">
        <v>0</v>
      </c>
      <c r="H60" s="1">
        <v>0</v>
      </c>
      <c r="I60" s="1">
        <v>0.06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1.8E-3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0.01</v>
      </c>
      <c r="X60" s="1">
        <v>0</v>
      </c>
      <c r="Y60" s="1">
        <v>7.9999999999999993E-4</v>
      </c>
      <c r="Z60" s="1">
        <v>1.2799999999999999E-2</v>
      </c>
      <c r="AA60" s="1">
        <v>1.9999999999999998E-4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3">
        <v>162.19999999999999</v>
      </c>
      <c r="AI60" s="3">
        <v>180.9</v>
      </c>
      <c r="AJ60" s="3">
        <v>2.1</v>
      </c>
    </row>
    <row r="61" spans="1:36" s="3" customFormat="1" x14ac:dyDescent="0.2">
      <c r="A61" s="3" t="s">
        <v>88</v>
      </c>
      <c r="B61" s="1" t="s">
        <v>627</v>
      </c>
      <c r="C61" s="1">
        <f t="shared" si="0"/>
        <v>94.528900000000007</v>
      </c>
      <c r="D61" s="1">
        <v>5.3</v>
      </c>
      <c r="E61" s="1">
        <v>0.05</v>
      </c>
      <c r="F61" s="1">
        <v>0.01</v>
      </c>
      <c r="G61" s="1">
        <v>0</v>
      </c>
      <c r="H61" s="1">
        <v>0</v>
      </c>
      <c r="I61" s="1">
        <v>0.09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1.5999999999999999E-3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0.01</v>
      </c>
      <c r="X61" s="1">
        <v>0</v>
      </c>
      <c r="Y61" s="1">
        <v>9.9999999999999991E-5</v>
      </c>
      <c r="Z61" s="1">
        <v>9.2999999999999992E-3</v>
      </c>
      <c r="AA61" s="1">
        <v>9.9999999999999991E-5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3">
        <v>163.6</v>
      </c>
      <c r="AI61" s="3">
        <v>194.8</v>
      </c>
      <c r="AJ61" s="3">
        <v>6.7</v>
      </c>
    </row>
    <row r="62" spans="1:36" s="3" customFormat="1" x14ac:dyDescent="0.2">
      <c r="A62" s="3" t="s">
        <v>89</v>
      </c>
      <c r="B62" s="1" t="s">
        <v>627</v>
      </c>
      <c r="C62" s="1">
        <f t="shared" si="0"/>
        <v>95.860600000000005</v>
      </c>
      <c r="D62" s="1">
        <v>2.74</v>
      </c>
      <c r="E62" s="1">
        <v>0.78</v>
      </c>
      <c r="F62" s="1">
        <v>0.53</v>
      </c>
      <c r="G62" s="1">
        <v>0</v>
      </c>
      <c r="H62" s="1">
        <v>0</v>
      </c>
      <c r="I62" s="1">
        <v>7.0000000000000007E-2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1.2999999999999999E-3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0.01</v>
      </c>
      <c r="X62" s="1">
        <v>0</v>
      </c>
      <c r="Y62" s="1">
        <v>5.9999999999999995E-4</v>
      </c>
      <c r="Z62" s="1">
        <v>7.4000000000000012E-3</v>
      </c>
      <c r="AA62" s="1">
        <v>9.9999999999999991E-5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3">
        <v>162.4</v>
      </c>
      <c r="AI62" s="3">
        <v>171</v>
      </c>
      <c r="AJ62" s="3">
        <v>3.1</v>
      </c>
    </row>
    <row r="63" spans="1:36" s="3" customFormat="1" x14ac:dyDescent="0.2">
      <c r="A63" s="3" t="s">
        <v>90</v>
      </c>
      <c r="B63" s="1" t="s">
        <v>627</v>
      </c>
      <c r="C63" s="1">
        <f t="shared" si="0"/>
        <v>96.176699999999997</v>
      </c>
      <c r="D63" s="1">
        <v>0.66</v>
      </c>
      <c r="E63" s="1">
        <v>0.48</v>
      </c>
      <c r="F63" s="1">
        <v>2.61</v>
      </c>
      <c r="G63" s="1">
        <v>0</v>
      </c>
      <c r="H63" s="1">
        <v>0</v>
      </c>
      <c r="I63" s="1">
        <v>0.06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1.8E-3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5.0000000000000001E-3</v>
      </c>
      <c r="X63" s="1">
        <v>0</v>
      </c>
      <c r="Y63" s="1">
        <v>1.9999999999999998E-4</v>
      </c>
      <c r="Z63" s="1">
        <v>6.1000000000000004E-3</v>
      </c>
      <c r="AA63" s="1">
        <v>1.9999999999999998E-4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3">
        <v>165.1</v>
      </c>
      <c r="AI63" s="3">
        <v>184.5</v>
      </c>
      <c r="AJ63" s="3">
        <v>3</v>
      </c>
    </row>
    <row r="64" spans="1:36" s="3" customFormat="1" x14ac:dyDescent="0.2">
      <c r="A64" s="3" t="s">
        <v>91</v>
      </c>
      <c r="B64" s="1" t="s">
        <v>627</v>
      </c>
      <c r="C64" s="1">
        <f t="shared" si="0"/>
        <v>95.868200000000002</v>
      </c>
      <c r="D64" s="1">
        <v>2.27</v>
      </c>
      <c r="E64" s="1">
        <v>0.54</v>
      </c>
      <c r="F64" s="1">
        <v>1.26</v>
      </c>
      <c r="G64" s="1">
        <v>0</v>
      </c>
      <c r="H64" s="1">
        <v>0</v>
      </c>
      <c r="I64" s="1">
        <v>0.05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1.2999999999999999E-3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5.0000000000000001E-3</v>
      </c>
      <c r="X64" s="1">
        <v>0</v>
      </c>
      <c r="Y64" s="1">
        <v>1.9999999999999998E-4</v>
      </c>
      <c r="Z64" s="1">
        <v>5.1999999999999998E-3</v>
      </c>
      <c r="AA64" s="1">
        <v>9.9999999999999991E-5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3">
        <v>162.1</v>
      </c>
      <c r="AI64" s="3">
        <v>172.4</v>
      </c>
      <c r="AJ64" s="3">
        <v>3.1</v>
      </c>
    </row>
    <row r="65" spans="1:36" s="3" customFormat="1" x14ac:dyDescent="0.2">
      <c r="A65" s="3" t="s">
        <v>92</v>
      </c>
      <c r="B65" s="1" t="s">
        <v>627</v>
      </c>
      <c r="C65" s="1">
        <f t="shared" si="0"/>
        <v>96.209100000000007</v>
      </c>
      <c r="D65" s="1">
        <v>1.54</v>
      </c>
      <c r="E65" s="1">
        <v>0.5</v>
      </c>
      <c r="F65" s="1">
        <v>1.69</v>
      </c>
      <c r="G65" s="1">
        <v>0</v>
      </c>
      <c r="H65" s="1">
        <v>0</v>
      </c>
      <c r="I65" s="1">
        <v>0.05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1.2999999999999999E-3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5.0000000000000001E-3</v>
      </c>
      <c r="X65" s="1">
        <v>0</v>
      </c>
      <c r="Y65" s="1">
        <v>1.9999999999999998E-4</v>
      </c>
      <c r="Z65" s="1">
        <v>4.3E-3</v>
      </c>
      <c r="AA65" s="1">
        <v>9.9999999999999991E-5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3">
        <v>159</v>
      </c>
      <c r="AI65" s="3">
        <v>171.3</v>
      </c>
      <c r="AJ65" s="3">
        <v>2.6</v>
      </c>
    </row>
    <row r="66" spans="1:36" s="3" customFormat="1" x14ac:dyDescent="0.2">
      <c r="A66" s="3" t="s">
        <v>93</v>
      </c>
      <c r="B66" s="1" t="s">
        <v>627</v>
      </c>
      <c r="C66" s="1">
        <f t="shared" si="0"/>
        <v>95.522099999999995</v>
      </c>
      <c r="D66" s="1">
        <v>3.2400000000000007</v>
      </c>
      <c r="E66" s="1">
        <v>0.03</v>
      </c>
      <c r="F66" s="1">
        <v>0.01</v>
      </c>
      <c r="G66" s="1">
        <v>1.0900000000000001</v>
      </c>
      <c r="H66" s="1">
        <v>0</v>
      </c>
      <c r="I66" s="1">
        <v>0.09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1.5999999999999999E-3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0.01</v>
      </c>
      <c r="X66" s="1">
        <v>0</v>
      </c>
      <c r="Y66" s="1">
        <v>2.9999999999999997E-4</v>
      </c>
      <c r="Z66" s="1">
        <v>5.8999999999999999E-3</v>
      </c>
      <c r="AA66" s="1">
        <v>9.9999999999999991E-5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3">
        <v>141.30000000000001</v>
      </c>
      <c r="AI66" s="3">
        <v>181.9</v>
      </c>
      <c r="AJ66" s="3">
        <v>6.3</v>
      </c>
    </row>
    <row r="67" spans="1:36" s="3" customFormat="1" x14ac:dyDescent="0.2">
      <c r="A67" s="3" t="s">
        <v>94</v>
      </c>
      <c r="B67" s="1" t="s">
        <v>627</v>
      </c>
      <c r="C67" s="1">
        <f t="shared" si="0"/>
        <v>95.472899999999996</v>
      </c>
      <c r="D67" s="1">
        <v>0.37</v>
      </c>
      <c r="E67" s="1">
        <v>0.49</v>
      </c>
      <c r="F67" s="1">
        <v>2.77</v>
      </c>
      <c r="G67" s="1">
        <v>0.86</v>
      </c>
      <c r="H67" s="1">
        <v>0</v>
      </c>
      <c r="I67" s="1">
        <v>0.02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1.2999999999999999E-3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0.01</v>
      </c>
      <c r="X67" s="1">
        <v>0</v>
      </c>
      <c r="Y67" s="1">
        <v>1.9999999999999998E-4</v>
      </c>
      <c r="Z67" s="1">
        <v>5.3E-3</v>
      </c>
      <c r="AA67" s="1">
        <v>2.9999999999999997E-4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3">
        <v>166.6</v>
      </c>
      <c r="AI67" s="3">
        <v>194.2</v>
      </c>
      <c r="AJ67" s="3">
        <v>4</v>
      </c>
    </row>
    <row r="68" spans="1:36" s="3" customFormat="1" x14ac:dyDescent="0.2">
      <c r="A68" s="3" t="s">
        <v>95</v>
      </c>
      <c r="B68" s="1" t="s">
        <v>627</v>
      </c>
      <c r="C68" s="1">
        <f t="shared" ref="C68:C69" si="1">(( 100 - (D68+E68+F68+I68+Q68+W68+Y68+Z68+AA68+G68))/100)*100</f>
        <v>95.932999999999993</v>
      </c>
      <c r="D68" s="1">
        <v>0.39</v>
      </c>
      <c r="E68" s="1">
        <v>0.5</v>
      </c>
      <c r="F68" s="1">
        <v>2.77</v>
      </c>
      <c r="G68" s="1">
        <v>0.37</v>
      </c>
      <c r="H68" s="1">
        <v>0</v>
      </c>
      <c r="I68" s="1">
        <v>0.02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1.1999999999999999E-3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0.01</v>
      </c>
      <c r="X68" s="1">
        <v>0</v>
      </c>
      <c r="Y68" s="1">
        <v>1.9999999999999998E-4</v>
      </c>
      <c r="Z68" s="1">
        <v>5.3E-3</v>
      </c>
      <c r="AA68" s="1">
        <v>2.9999999999999997E-4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3">
        <v>174.7</v>
      </c>
      <c r="AI68" s="3">
        <v>190.5</v>
      </c>
      <c r="AJ68" s="3">
        <v>3.4</v>
      </c>
    </row>
    <row r="69" spans="1:36" s="3" customFormat="1" x14ac:dyDescent="0.2">
      <c r="A69" s="3" t="s">
        <v>96</v>
      </c>
      <c r="B69" s="1" t="s">
        <v>627</v>
      </c>
      <c r="C69" s="1">
        <f t="shared" si="1"/>
        <v>96.132199999999997</v>
      </c>
      <c r="D69" s="1">
        <v>1.39</v>
      </c>
      <c r="E69" s="1">
        <v>1.49</v>
      </c>
      <c r="F69" s="1">
        <v>0.89</v>
      </c>
      <c r="G69" s="1">
        <v>0.01</v>
      </c>
      <c r="H69" s="1">
        <v>0</v>
      </c>
      <c r="I69" s="1">
        <v>7.0000000000000007E-2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1.2999999999999999E-3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0.01</v>
      </c>
      <c r="X69" s="1">
        <v>0</v>
      </c>
      <c r="Y69" s="1">
        <v>9.9999999999999991E-5</v>
      </c>
      <c r="Z69" s="1">
        <v>6.1000000000000004E-3</v>
      </c>
      <c r="AA69" s="1">
        <v>2.9999999999999997E-4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3">
        <v>163</v>
      </c>
      <c r="AI69" s="3">
        <v>175.7</v>
      </c>
      <c r="AJ69" s="3">
        <v>3.7</v>
      </c>
    </row>
    <row r="70" spans="1:36" s="3" customFormat="1" x14ac:dyDescent="0.2">
      <c r="A70" s="3" t="s">
        <v>97</v>
      </c>
      <c r="B70" s="1" t="s">
        <v>627</v>
      </c>
      <c r="C70" s="1">
        <f>(( 100 - (D70+E70+F70+I70+Q70+W70+Y70+Z70+AA70))/100)*100</f>
        <v>96.702299999999994</v>
      </c>
      <c r="D70" s="1">
        <v>2.2200000000000002</v>
      </c>
      <c r="E70" s="1">
        <v>0.43</v>
      </c>
      <c r="F70" s="1">
        <v>0.56999999999999995</v>
      </c>
      <c r="G70" s="1">
        <v>0</v>
      </c>
      <c r="H70" s="1">
        <v>0</v>
      </c>
      <c r="I70" s="1">
        <v>0.06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1.2999999999999999E-3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0.01</v>
      </c>
      <c r="X70" s="1">
        <v>0</v>
      </c>
      <c r="Y70" s="1">
        <v>9.9999999999999991E-5</v>
      </c>
      <c r="Z70" s="1">
        <v>6.0000000000000001E-3</v>
      </c>
      <c r="AA70" s="1">
        <v>2.9999999999999997E-4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3">
        <v>138.6</v>
      </c>
      <c r="AI70" s="3">
        <v>155.6</v>
      </c>
      <c r="AJ70" s="3">
        <v>3.3</v>
      </c>
    </row>
    <row r="71" spans="1:36" s="3" customFormat="1" x14ac:dyDescent="0.2">
      <c r="A71" s="3" t="s">
        <v>98</v>
      </c>
      <c r="B71" s="1" t="s">
        <v>627</v>
      </c>
      <c r="C71" s="1">
        <f>(( 100 - (D71+E71+F71+I71+Q71+W71+Y71+Z71+AA71))/100)*100</f>
        <v>95.852499999999992</v>
      </c>
      <c r="D71" s="1">
        <v>1.47</v>
      </c>
      <c r="E71" s="1">
        <v>0.89</v>
      </c>
      <c r="F71" s="1">
        <v>1.7000000000000002</v>
      </c>
      <c r="G71" s="1">
        <v>0</v>
      </c>
      <c r="H71" s="1">
        <v>0</v>
      </c>
      <c r="I71" s="1">
        <v>7.0000000000000007E-2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1.5E-3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0.01</v>
      </c>
      <c r="X71" s="1">
        <v>0</v>
      </c>
      <c r="Y71" s="1">
        <v>1.9999999999999998E-4</v>
      </c>
      <c r="Z71" s="1">
        <v>5.5999999999999999E-3</v>
      </c>
      <c r="AA71" s="1">
        <v>1.9999999999999998E-4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3">
        <v>165.3</v>
      </c>
      <c r="AI71" s="3">
        <v>176.9</v>
      </c>
      <c r="AJ71" s="3">
        <v>3.1</v>
      </c>
    </row>
    <row r="72" spans="1:36" s="3" customFormat="1" x14ac:dyDescent="0.2">
      <c r="A72" s="3" t="s">
        <v>99</v>
      </c>
      <c r="B72" s="1" t="s">
        <v>627</v>
      </c>
      <c r="C72" s="1">
        <f>(( 100 - (D72+E72+F72+I72+Q72+W72+Y72+Z72+AA72))/100)*100</f>
        <v>91.741299999999995</v>
      </c>
      <c r="D72" s="1">
        <v>8.0500000000000007</v>
      </c>
      <c r="E72" s="1">
        <v>0.08</v>
      </c>
      <c r="F72" s="1">
        <v>0.01</v>
      </c>
      <c r="G72" s="1">
        <v>0</v>
      </c>
      <c r="H72" s="1">
        <v>0</v>
      </c>
      <c r="I72" s="1">
        <v>0.1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1.8E-3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0.01</v>
      </c>
      <c r="X72" s="1">
        <v>0</v>
      </c>
      <c r="Y72" s="1">
        <v>2.9999999999999997E-4</v>
      </c>
      <c r="Z72" s="1">
        <v>6.4999999999999997E-3</v>
      </c>
      <c r="AA72" s="1">
        <v>9.9999999999999991E-5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3">
        <v>191.7</v>
      </c>
      <c r="AI72" s="3">
        <v>212.4</v>
      </c>
      <c r="AJ72" s="3">
        <v>4.7</v>
      </c>
    </row>
    <row r="73" spans="1:36" s="3" customFormat="1" x14ac:dyDescent="0.2">
      <c r="A73" s="3" t="s">
        <v>100</v>
      </c>
      <c r="B73" s="1" t="s">
        <v>627</v>
      </c>
      <c r="C73" s="1">
        <f>(( 100 - (D73+E73+F73+I73+Q73+W73+Y73+Z73+AA73+G73))/100)*100</f>
        <v>95.980699999999999</v>
      </c>
      <c r="D73" s="1">
        <v>2.19</v>
      </c>
      <c r="E73" s="1">
        <v>1.21</v>
      </c>
      <c r="F73" s="1">
        <v>0.53</v>
      </c>
      <c r="G73" s="1">
        <v>0</v>
      </c>
      <c r="H73" s="1">
        <v>0</v>
      </c>
      <c r="I73" s="1">
        <v>7.0000000000000007E-2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1.6999999999999999E-3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0.01</v>
      </c>
      <c r="X73" s="1">
        <v>0</v>
      </c>
      <c r="Y73" s="1">
        <v>1.9999999999999998E-4</v>
      </c>
      <c r="Z73" s="1">
        <v>7.3000000000000001E-3</v>
      </c>
      <c r="AA73" s="1">
        <v>9.9999999999999991E-5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3">
        <v>166.1</v>
      </c>
      <c r="AI73" s="3">
        <v>181.1</v>
      </c>
      <c r="AJ73" s="3">
        <v>4</v>
      </c>
    </row>
    <row r="74" spans="1:36" s="3" customFormat="1" x14ac:dyDescent="0.2">
      <c r="A74" s="3" t="s">
        <v>101</v>
      </c>
      <c r="B74" s="1" t="s">
        <v>627</v>
      </c>
      <c r="C74" s="1">
        <f>(( 100 - (D74+E74+F74+I74+Q74+W74+Y74+Z74+AA74+G74))/100)*100</f>
        <v>96.412199999999999</v>
      </c>
      <c r="D74" s="1">
        <v>0.98999999999999988</v>
      </c>
      <c r="E74" s="1">
        <v>2.0099999999999998</v>
      </c>
      <c r="F74" s="1">
        <v>0.52</v>
      </c>
      <c r="G74" s="1">
        <v>0</v>
      </c>
      <c r="H74" s="1">
        <v>0</v>
      </c>
      <c r="I74" s="1">
        <v>0.05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1.1999999999999999E-3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0.01</v>
      </c>
      <c r="X74" s="1">
        <v>0</v>
      </c>
      <c r="Y74" s="1">
        <v>1.9999999999999998E-4</v>
      </c>
      <c r="Z74" s="1">
        <v>6.3E-3</v>
      </c>
      <c r="AA74" s="1">
        <v>9.9999999999999991E-5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3">
        <v>159</v>
      </c>
      <c r="AI74" s="3">
        <v>173.8</v>
      </c>
      <c r="AJ74" s="3">
        <v>3.4</v>
      </c>
    </row>
    <row r="75" spans="1:36" s="3" customFormat="1" x14ac:dyDescent="0.2">
      <c r="A75" s="3" t="s">
        <v>102</v>
      </c>
      <c r="B75" s="1" t="s">
        <v>627</v>
      </c>
      <c r="C75" s="1">
        <f>(( 100 - (D75+E75+F75+I75+Q75+W75+Y75+Z75+AA75))/100)*100</f>
        <v>96.066500000000005</v>
      </c>
      <c r="D75" s="1">
        <v>0.85000000000000009</v>
      </c>
      <c r="E75" s="1">
        <v>1.45</v>
      </c>
      <c r="F75" s="1">
        <v>1.56</v>
      </c>
      <c r="G75" s="1">
        <v>0</v>
      </c>
      <c r="H75" s="1">
        <v>0</v>
      </c>
      <c r="I75" s="1">
        <v>0.05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1.5999999999999999E-3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0.01</v>
      </c>
      <c r="X75" s="1">
        <v>0</v>
      </c>
      <c r="Y75" s="1">
        <v>3.9999999999999996E-4</v>
      </c>
      <c r="Z75" s="1">
        <v>1.14E-2</v>
      </c>
      <c r="AA75" s="1">
        <v>9.9999999999999991E-5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3">
        <v>162.6</v>
      </c>
      <c r="AI75" s="3">
        <v>173.9</v>
      </c>
      <c r="AJ75" s="3">
        <v>2.4</v>
      </c>
    </row>
    <row r="76" spans="1:36" s="3" customFormat="1" x14ac:dyDescent="0.2">
      <c r="A76" s="3" t="s">
        <v>103</v>
      </c>
      <c r="B76" s="1" t="s">
        <v>627</v>
      </c>
      <c r="C76" s="1">
        <f>(( 100 - (D76+E76+F76+I76+Q76+W76+Y76+Z76+AA76+G76))/100)*100</f>
        <v>95.877499999999998</v>
      </c>
      <c r="D76" s="1">
        <v>2.75</v>
      </c>
      <c r="E76" s="1">
        <v>0.53</v>
      </c>
      <c r="F76" s="1">
        <v>0.76</v>
      </c>
      <c r="G76" s="1">
        <v>0</v>
      </c>
      <c r="H76" s="1">
        <v>0</v>
      </c>
      <c r="I76" s="1">
        <v>7.0000000000000007E-2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1.2999999999999999E-3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5.0000000000000001E-3</v>
      </c>
      <c r="X76" s="1">
        <v>0</v>
      </c>
      <c r="Y76" s="1">
        <v>3.9999999999999996E-4</v>
      </c>
      <c r="Z76" s="1">
        <v>5.7000000000000002E-3</v>
      </c>
      <c r="AA76" s="1">
        <v>9.9999999999999991E-5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3">
        <v>163.9</v>
      </c>
      <c r="AI76" s="3">
        <v>173.1</v>
      </c>
      <c r="AJ76" s="3">
        <v>3.1</v>
      </c>
    </row>
    <row r="77" spans="1:36" s="3" customFormat="1" x14ac:dyDescent="0.2">
      <c r="A77" s="3" t="s">
        <v>104</v>
      </c>
      <c r="B77" s="1" t="s">
        <v>627</v>
      </c>
      <c r="C77" s="1">
        <f>(( 100 - (D77+E77+F77+I77+Q77+W77+Y77+Z77+AA77+G77))/100)*100</f>
        <v>95.980099999999993</v>
      </c>
      <c r="D77" s="1">
        <v>1.91</v>
      </c>
      <c r="E77" s="1">
        <v>2</v>
      </c>
      <c r="F77" s="1">
        <v>0.01</v>
      </c>
      <c r="G77" s="1">
        <v>0.01</v>
      </c>
      <c r="H77" s="1">
        <v>0</v>
      </c>
      <c r="I77" s="1">
        <v>7.0000000000000007E-2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1.5E-3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0.01</v>
      </c>
      <c r="X77" s="1">
        <v>0</v>
      </c>
      <c r="Y77" s="1">
        <v>3.9999999999999996E-4</v>
      </c>
      <c r="Z77" s="1">
        <v>7.7000000000000002E-3</v>
      </c>
      <c r="AA77" s="1">
        <v>2.9999999999999997E-4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3">
        <v>161.9</v>
      </c>
      <c r="AI77" s="3">
        <v>172.6</v>
      </c>
      <c r="AJ77" s="3">
        <v>3.6</v>
      </c>
    </row>
    <row r="78" spans="1:36" s="3" customFormat="1" x14ac:dyDescent="0.2">
      <c r="A78" s="3" t="s">
        <v>105</v>
      </c>
      <c r="B78" s="1" t="s">
        <v>627</v>
      </c>
      <c r="C78" s="1">
        <f>(( 100 - (D78+E78+F78+I78+Q78+W78+Y78+Z78+AA78))/100)*100</f>
        <v>95.831500000000005</v>
      </c>
      <c r="D78" s="1">
        <v>1.9900000000000002</v>
      </c>
      <c r="E78" s="1">
        <v>0.02</v>
      </c>
      <c r="F78" s="1">
        <v>2.0699999999999998</v>
      </c>
      <c r="G78" s="1">
        <v>0</v>
      </c>
      <c r="H78" s="1">
        <v>0</v>
      </c>
      <c r="I78" s="1">
        <v>7.0000000000000007E-2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1.1999999999999999E-3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0.01</v>
      </c>
      <c r="X78" s="1">
        <v>0</v>
      </c>
      <c r="Y78" s="1">
        <v>3.9999999999999996E-4</v>
      </c>
      <c r="Z78" s="1">
        <v>6.4999999999999997E-3</v>
      </c>
      <c r="AA78" s="1">
        <v>3.9999999999999996E-4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3">
        <v>165.7</v>
      </c>
      <c r="AI78" s="3">
        <v>178</v>
      </c>
      <c r="AJ78" s="3">
        <v>2.9</v>
      </c>
    </row>
    <row r="79" spans="1:36" s="3" customFormat="1" x14ac:dyDescent="0.2">
      <c r="A79" s="3" t="s">
        <v>106</v>
      </c>
      <c r="B79" s="1" t="s">
        <v>627</v>
      </c>
      <c r="C79" s="1">
        <f>(( 100 - (D79+E79+F79+I79+Q79+W79+Y79+Z79+AA79))/100)*100</f>
        <v>96.780699999999996</v>
      </c>
      <c r="D79" s="1">
        <v>1.27</v>
      </c>
      <c r="E79" s="1">
        <v>0.81000000000000016</v>
      </c>
      <c r="F79" s="1">
        <v>1.07</v>
      </c>
      <c r="G79" s="1">
        <v>0</v>
      </c>
      <c r="H79" s="1">
        <v>0</v>
      </c>
      <c r="I79" s="1">
        <v>0.05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1.4E-3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0.01</v>
      </c>
      <c r="X79" s="1">
        <v>0</v>
      </c>
      <c r="Y79" s="1">
        <v>9.9999999999999991E-5</v>
      </c>
      <c r="Z79" s="1">
        <v>7.4999999999999997E-3</v>
      </c>
      <c r="AA79" s="1">
        <v>2.9999999999999997E-4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3">
        <v>141.80000000000001</v>
      </c>
      <c r="AI79" s="3">
        <v>156.5</v>
      </c>
      <c r="AJ79" s="3">
        <v>2.8</v>
      </c>
    </row>
    <row r="80" spans="1:36" s="3" customFormat="1" x14ac:dyDescent="0.2">
      <c r="A80" s="3" t="s">
        <v>107</v>
      </c>
      <c r="B80" s="1" t="s">
        <v>627</v>
      </c>
      <c r="C80" s="1">
        <f>(( 100 - (D80+E80+F80+I80+Q80+W80+Y80+Z80+AA80+G80))/100)*100</f>
        <v>96.248599999999996</v>
      </c>
      <c r="D80" s="1">
        <v>1.0900000000000001</v>
      </c>
      <c r="E80" s="1">
        <v>0.49</v>
      </c>
      <c r="F80" s="1">
        <v>2.11</v>
      </c>
      <c r="G80" s="1">
        <v>0</v>
      </c>
      <c r="H80" s="1">
        <v>0</v>
      </c>
      <c r="I80" s="1">
        <v>0.05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1.5E-3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5.0000000000000001E-3</v>
      </c>
      <c r="X80" s="1">
        <v>0</v>
      </c>
      <c r="Y80" s="1">
        <v>2.9999999999999997E-4</v>
      </c>
      <c r="Z80" s="1">
        <v>4.4999999999999997E-3</v>
      </c>
      <c r="AA80" s="1">
        <v>9.9999999999999991E-5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3">
        <v>163.5</v>
      </c>
      <c r="AI80" s="3">
        <v>180.5</v>
      </c>
      <c r="AJ80" s="3">
        <v>3.1</v>
      </c>
    </row>
    <row r="81" spans="1:36" s="3" customFormat="1" x14ac:dyDescent="0.2">
      <c r="A81" s="1" t="s">
        <v>108</v>
      </c>
      <c r="B81" s="1" t="s">
        <v>627</v>
      </c>
      <c r="C81" s="1">
        <v>88.6</v>
      </c>
      <c r="D81" s="1">
        <v>0</v>
      </c>
      <c r="E81" s="1">
        <v>0</v>
      </c>
      <c r="F81" s="1">
        <v>0</v>
      </c>
      <c r="G81" s="1">
        <v>0.8</v>
      </c>
      <c r="H81" s="1">
        <v>0</v>
      </c>
      <c r="I81" s="1">
        <v>9</v>
      </c>
      <c r="J81" s="1">
        <v>0</v>
      </c>
      <c r="K81" s="1">
        <v>0</v>
      </c>
      <c r="L81" s="1">
        <v>0</v>
      </c>
      <c r="M81" s="1">
        <v>0</v>
      </c>
      <c r="N81" s="1">
        <v>0.2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0.4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H81" s="1">
        <v>178</v>
      </c>
      <c r="AI81" s="1">
        <v>269</v>
      </c>
      <c r="AJ81" s="1">
        <v>3.3</v>
      </c>
    </row>
    <row r="82" spans="1:36" s="3" customFormat="1" x14ac:dyDescent="0.2">
      <c r="A82" s="1" t="s">
        <v>108</v>
      </c>
      <c r="B82" s="1" t="s">
        <v>627</v>
      </c>
      <c r="C82" s="1">
        <v>89.1</v>
      </c>
      <c r="D82" s="1">
        <v>0</v>
      </c>
      <c r="E82" s="1">
        <v>0</v>
      </c>
      <c r="F82" s="1">
        <v>0</v>
      </c>
      <c r="G82" s="1">
        <v>0.8</v>
      </c>
      <c r="H82" s="1">
        <v>0</v>
      </c>
      <c r="I82" s="1">
        <v>9</v>
      </c>
      <c r="J82" s="1">
        <v>0</v>
      </c>
      <c r="K82" s="1">
        <v>0</v>
      </c>
      <c r="L82" s="1">
        <v>0</v>
      </c>
      <c r="M82" s="1">
        <v>0</v>
      </c>
      <c r="N82" s="1">
        <v>0.2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0.4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0.5</v>
      </c>
      <c r="AH82" s="1">
        <v>172</v>
      </c>
      <c r="AI82" s="1">
        <v>262</v>
      </c>
      <c r="AJ82" s="1">
        <v>3.6</v>
      </c>
    </row>
    <row r="83" spans="1:36" s="3" customFormat="1" x14ac:dyDescent="0.2">
      <c r="A83" s="3" t="s">
        <v>109</v>
      </c>
      <c r="B83" s="1" t="s">
        <v>629</v>
      </c>
      <c r="C83" s="1">
        <v>89</v>
      </c>
      <c r="D83" s="1">
        <v>0</v>
      </c>
      <c r="E83" s="1">
        <v>0</v>
      </c>
      <c r="F83" s="1">
        <v>0</v>
      </c>
      <c r="G83" s="1">
        <v>0.8</v>
      </c>
      <c r="H83" s="1">
        <v>0</v>
      </c>
      <c r="I83" s="1">
        <v>9</v>
      </c>
      <c r="J83" s="1">
        <v>0</v>
      </c>
      <c r="K83" s="1">
        <v>0</v>
      </c>
      <c r="L83" s="1">
        <v>0</v>
      </c>
      <c r="M83" s="1">
        <v>0</v>
      </c>
      <c r="N83" s="1">
        <v>0.2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3">
        <v>165</v>
      </c>
      <c r="AI83" s="3">
        <v>244</v>
      </c>
      <c r="AJ83" s="3">
        <v>2.7</v>
      </c>
    </row>
    <row r="84" spans="1:36" s="3" customFormat="1" x14ac:dyDescent="0.2">
      <c r="A84" s="1" t="s">
        <v>110</v>
      </c>
      <c r="B84" s="1" t="s">
        <v>627</v>
      </c>
      <c r="C84" s="1">
        <v>89</v>
      </c>
      <c r="D84" s="1">
        <v>0</v>
      </c>
      <c r="E84" s="1">
        <v>0</v>
      </c>
      <c r="F84" s="1">
        <v>0</v>
      </c>
      <c r="G84" s="1">
        <v>0.8</v>
      </c>
      <c r="H84" s="1">
        <v>0</v>
      </c>
      <c r="I84" s="1">
        <v>9</v>
      </c>
      <c r="J84" s="1">
        <v>0</v>
      </c>
      <c r="K84" s="1">
        <v>0</v>
      </c>
      <c r="L84" s="1">
        <v>0</v>
      </c>
      <c r="M84" s="1">
        <v>0</v>
      </c>
      <c r="N84" s="1">
        <v>0.2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165</v>
      </c>
      <c r="AI84" s="1">
        <v>244</v>
      </c>
      <c r="AJ84" s="1">
        <v>2.7</v>
      </c>
    </row>
    <row r="85" spans="1:36" s="3" customFormat="1" x14ac:dyDescent="0.2">
      <c r="A85" s="3" t="s">
        <v>111</v>
      </c>
      <c r="B85" s="1" t="s">
        <v>625</v>
      </c>
      <c r="C85" s="1">
        <v>89.3</v>
      </c>
      <c r="D85" s="1">
        <v>0</v>
      </c>
      <c r="E85" s="1">
        <v>0</v>
      </c>
      <c r="F85" s="1">
        <v>0</v>
      </c>
      <c r="G85" s="1">
        <v>0.8</v>
      </c>
      <c r="H85" s="1">
        <v>0</v>
      </c>
      <c r="I85" s="1">
        <v>9</v>
      </c>
      <c r="J85" s="1">
        <v>0</v>
      </c>
      <c r="K85" s="1">
        <v>0</v>
      </c>
      <c r="L85" s="1">
        <v>0</v>
      </c>
      <c r="M85" s="1">
        <v>0</v>
      </c>
      <c r="N85" s="1">
        <v>0.2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0.7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3">
        <v>172</v>
      </c>
      <c r="AI85" s="3">
        <v>257</v>
      </c>
      <c r="AJ85" s="3">
        <v>4.4000000000000004</v>
      </c>
    </row>
    <row r="86" spans="1:36" s="3" customFormat="1" x14ac:dyDescent="0.2">
      <c r="A86" s="3" t="s">
        <v>112</v>
      </c>
      <c r="B86" s="1" t="s">
        <v>629</v>
      </c>
      <c r="C86" s="1">
        <v>89.3</v>
      </c>
      <c r="D86" s="1">
        <v>0</v>
      </c>
      <c r="E86" s="1">
        <v>0</v>
      </c>
      <c r="F86" s="1">
        <v>0</v>
      </c>
      <c r="G86" s="1">
        <v>0.8</v>
      </c>
      <c r="H86" s="1">
        <v>0</v>
      </c>
      <c r="I86" s="1">
        <v>9</v>
      </c>
      <c r="J86" s="1">
        <v>0</v>
      </c>
      <c r="K86" s="1">
        <v>0</v>
      </c>
      <c r="L86" s="1">
        <v>0</v>
      </c>
      <c r="M86" s="1">
        <v>0</v>
      </c>
      <c r="N86" s="1">
        <v>0.2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0.7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3">
        <v>172</v>
      </c>
      <c r="AI86" s="3">
        <v>257</v>
      </c>
      <c r="AJ86" s="3">
        <v>4.4000000000000004</v>
      </c>
    </row>
    <row r="87" spans="1:36" s="3" customFormat="1" x14ac:dyDescent="0.2">
      <c r="A87" s="1" t="s">
        <v>110</v>
      </c>
      <c r="B87" s="1" t="s">
        <v>627</v>
      </c>
      <c r="C87" s="1">
        <v>89.3</v>
      </c>
      <c r="D87" s="1">
        <v>0</v>
      </c>
      <c r="E87" s="1">
        <v>0</v>
      </c>
      <c r="F87" s="1">
        <v>0</v>
      </c>
      <c r="G87" s="1">
        <v>0.8</v>
      </c>
      <c r="H87" s="1">
        <v>0</v>
      </c>
      <c r="I87" s="1">
        <v>9</v>
      </c>
      <c r="J87" s="1">
        <v>0</v>
      </c>
      <c r="K87" s="1">
        <v>0</v>
      </c>
      <c r="L87" s="1">
        <v>0</v>
      </c>
      <c r="M87" s="1">
        <v>0</v>
      </c>
      <c r="N87" s="1">
        <v>0.2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0.7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172</v>
      </c>
      <c r="AI87" s="1">
        <v>257</v>
      </c>
      <c r="AJ87" s="1">
        <v>4.4000000000000004</v>
      </c>
    </row>
    <row r="88" spans="1:36" s="3" customFormat="1" x14ac:dyDescent="0.2">
      <c r="A88" s="3" t="s">
        <v>111</v>
      </c>
      <c r="B88" s="1" t="s">
        <v>625</v>
      </c>
      <c r="C88" s="1">
        <v>89.65</v>
      </c>
      <c r="D88" s="1">
        <v>0</v>
      </c>
      <c r="E88" s="1">
        <v>0</v>
      </c>
      <c r="F88" s="1">
        <v>0</v>
      </c>
      <c r="G88" s="1">
        <v>0.8</v>
      </c>
      <c r="H88" s="1">
        <v>0</v>
      </c>
      <c r="I88" s="1">
        <v>9</v>
      </c>
      <c r="J88" s="1">
        <v>0</v>
      </c>
      <c r="K88" s="1">
        <v>0</v>
      </c>
      <c r="L88" s="1">
        <v>0</v>
      </c>
      <c r="M88" s="1">
        <v>0</v>
      </c>
      <c r="N88" s="1">
        <v>0.2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0.35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3">
        <v>177</v>
      </c>
      <c r="AI88" s="3">
        <v>264</v>
      </c>
      <c r="AJ88" s="3">
        <v>4.5</v>
      </c>
    </row>
    <row r="89" spans="1:36" s="3" customFormat="1" x14ac:dyDescent="0.2">
      <c r="A89" s="3" t="s">
        <v>113</v>
      </c>
      <c r="B89" s="1" t="s">
        <v>629</v>
      </c>
      <c r="C89" s="1">
        <v>89.65</v>
      </c>
      <c r="D89" s="1">
        <v>0</v>
      </c>
      <c r="E89" s="1">
        <v>0</v>
      </c>
      <c r="F89" s="1">
        <v>0</v>
      </c>
      <c r="G89" s="1">
        <v>0.8</v>
      </c>
      <c r="H89" s="1">
        <v>0</v>
      </c>
      <c r="I89" s="1">
        <v>9</v>
      </c>
      <c r="J89" s="1">
        <v>0</v>
      </c>
      <c r="K89" s="1">
        <v>0</v>
      </c>
      <c r="L89" s="1">
        <v>0</v>
      </c>
      <c r="M89" s="1">
        <v>0</v>
      </c>
      <c r="N89" s="1">
        <v>0.2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0.35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3">
        <v>177</v>
      </c>
      <c r="AI89" s="3">
        <v>264</v>
      </c>
      <c r="AJ89" s="3">
        <v>4.5</v>
      </c>
    </row>
    <row r="90" spans="1:36" s="3" customFormat="1" x14ac:dyDescent="0.2">
      <c r="A90" s="1" t="s">
        <v>110</v>
      </c>
      <c r="B90" s="1" t="s">
        <v>627</v>
      </c>
      <c r="C90" s="1">
        <v>89.65</v>
      </c>
      <c r="D90" s="1">
        <v>0</v>
      </c>
      <c r="E90" s="1">
        <v>0</v>
      </c>
      <c r="F90" s="1">
        <v>0</v>
      </c>
      <c r="G90" s="1">
        <v>0.8</v>
      </c>
      <c r="H90" s="1">
        <v>0</v>
      </c>
      <c r="I90" s="1">
        <v>9</v>
      </c>
      <c r="J90" s="1">
        <v>0</v>
      </c>
      <c r="K90" s="1">
        <v>0</v>
      </c>
      <c r="L90" s="1">
        <v>0</v>
      </c>
      <c r="M90" s="1">
        <v>0</v>
      </c>
      <c r="N90" s="1">
        <v>0.2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0.35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177</v>
      </c>
      <c r="AI90" s="1">
        <v>264</v>
      </c>
      <c r="AJ90" s="1">
        <v>4.5</v>
      </c>
    </row>
    <row r="91" spans="1:36" s="3" customFormat="1" x14ac:dyDescent="0.2">
      <c r="A91" s="3" t="s">
        <v>111</v>
      </c>
      <c r="B91" s="1" t="s">
        <v>625</v>
      </c>
      <c r="C91" s="1">
        <v>89.85</v>
      </c>
      <c r="D91" s="1">
        <v>0</v>
      </c>
      <c r="E91" s="1">
        <v>0</v>
      </c>
      <c r="F91" s="1">
        <v>0</v>
      </c>
      <c r="G91" s="1">
        <v>0.8</v>
      </c>
      <c r="H91" s="1">
        <v>0</v>
      </c>
      <c r="I91" s="1">
        <v>9</v>
      </c>
      <c r="J91" s="1">
        <v>0</v>
      </c>
      <c r="K91" s="1">
        <v>0</v>
      </c>
      <c r="L91" s="1">
        <v>0</v>
      </c>
      <c r="M91" s="1">
        <v>0</v>
      </c>
      <c r="N91" s="1">
        <v>0.2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0.15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3">
        <v>134</v>
      </c>
      <c r="AI91" s="3">
        <v>238</v>
      </c>
      <c r="AJ91" s="3">
        <v>5</v>
      </c>
    </row>
    <row r="92" spans="1:36" s="3" customFormat="1" x14ac:dyDescent="0.2">
      <c r="A92" s="3" t="s">
        <v>114</v>
      </c>
      <c r="B92" s="1" t="s">
        <v>629</v>
      </c>
      <c r="C92" s="1">
        <v>89.85</v>
      </c>
      <c r="D92" s="1">
        <v>0</v>
      </c>
      <c r="E92" s="1">
        <v>0</v>
      </c>
      <c r="F92" s="1">
        <v>0</v>
      </c>
      <c r="G92" s="1">
        <v>0.8</v>
      </c>
      <c r="H92" s="1">
        <v>0</v>
      </c>
      <c r="I92" s="1">
        <v>9</v>
      </c>
      <c r="J92" s="1">
        <v>0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0.15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3">
        <v>134</v>
      </c>
      <c r="AI92" s="3">
        <v>238</v>
      </c>
      <c r="AJ92" s="3">
        <v>3.3</v>
      </c>
    </row>
    <row r="93" spans="1:36" s="3" customFormat="1" x14ac:dyDescent="0.2">
      <c r="A93" s="1" t="s">
        <v>110</v>
      </c>
      <c r="B93" s="1" t="s">
        <v>627</v>
      </c>
      <c r="C93" s="1">
        <v>89.85</v>
      </c>
      <c r="D93" s="1">
        <v>0</v>
      </c>
      <c r="E93" s="1">
        <v>0</v>
      </c>
      <c r="F93" s="1">
        <v>0</v>
      </c>
      <c r="G93" s="1">
        <v>0.8</v>
      </c>
      <c r="H93" s="1">
        <v>0</v>
      </c>
      <c r="I93" s="1">
        <v>9</v>
      </c>
      <c r="J93" s="1">
        <v>0</v>
      </c>
      <c r="K93" s="1">
        <v>0</v>
      </c>
      <c r="L93" s="1">
        <v>0</v>
      </c>
      <c r="M93" s="1">
        <v>0</v>
      </c>
      <c r="N93" s="1">
        <v>0.2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0.15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134</v>
      </c>
      <c r="AI93" s="1">
        <v>238</v>
      </c>
      <c r="AJ93" s="1">
        <v>3.3</v>
      </c>
    </row>
    <row r="94" spans="1:36" s="3" customFormat="1" x14ac:dyDescent="0.2">
      <c r="A94" s="3" t="s">
        <v>115</v>
      </c>
      <c r="B94" s="1" t="s">
        <v>626</v>
      </c>
      <c r="C94" s="1">
        <v>65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20</v>
      </c>
      <c r="J94" s="1">
        <v>15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3">
        <v>600</v>
      </c>
      <c r="AI94" s="3">
        <v>710</v>
      </c>
      <c r="AJ94" s="3">
        <v>3.4</v>
      </c>
    </row>
    <row r="95" spans="1:36" s="3" customFormat="1" x14ac:dyDescent="0.2">
      <c r="A95" s="3" t="s">
        <v>111</v>
      </c>
      <c r="B95" s="1" t="s">
        <v>629</v>
      </c>
      <c r="C95" s="1">
        <f xml:space="preserve"> 100 - (SUM(D95:AG95))</f>
        <v>90.765100000000004</v>
      </c>
      <c r="D95" s="1">
        <v>0</v>
      </c>
      <c r="E95" s="1">
        <v>0</v>
      </c>
      <c r="F95" s="1">
        <v>0</v>
      </c>
      <c r="G95" s="1">
        <v>0.92300000000000004</v>
      </c>
      <c r="H95" s="1">
        <v>0</v>
      </c>
      <c r="I95" s="1">
        <v>8.1199999999999992</v>
      </c>
      <c r="J95" s="1">
        <v>0</v>
      </c>
      <c r="K95" s="1">
        <v>0</v>
      </c>
      <c r="L95" s="1">
        <v>0</v>
      </c>
      <c r="M95" s="1">
        <v>0</v>
      </c>
      <c r="N95" s="1">
        <v>0.14199999999999999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4.99E-2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3">
        <v>94</v>
      </c>
      <c r="AI95" s="3">
        <v>168</v>
      </c>
      <c r="AJ95" s="3">
        <v>3.03</v>
      </c>
    </row>
    <row r="96" spans="1:36" s="3" customFormat="1" x14ac:dyDescent="0.2">
      <c r="A96" s="3" t="s">
        <v>116</v>
      </c>
      <c r="B96" s="1" t="s">
        <v>629</v>
      </c>
      <c r="C96" s="1">
        <f t="shared" ref="C96:C107" si="2" xml:space="preserve"> 100 - (SUM(D96:AG96))</f>
        <v>90.575999999999993</v>
      </c>
      <c r="D96" s="1">
        <v>0.6</v>
      </c>
      <c r="E96" s="1">
        <v>1.9</v>
      </c>
      <c r="F96" s="1">
        <v>0.93999999999999984</v>
      </c>
      <c r="G96" s="1">
        <v>0.58399999999999996</v>
      </c>
      <c r="H96" s="1">
        <v>0</v>
      </c>
      <c r="I96" s="1">
        <v>5.28</v>
      </c>
      <c r="J96" s="1">
        <v>0</v>
      </c>
      <c r="K96" s="1">
        <v>0</v>
      </c>
      <c r="L96" s="1">
        <v>0</v>
      </c>
      <c r="M96" s="1">
        <v>0</v>
      </c>
      <c r="N96" s="1">
        <v>0.12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3">
        <v>95</v>
      </c>
      <c r="AI96" s="3">
        <v>172</v>
      </c>
      <c r="AJ96" s="3">
        <v>4.2699999999999996</v>
      </c>
    </row>
    <row r="97" spans="1:36" s="3" customFormat="1" x14ac:dyDescent="0.2">
      <c r="A97" s="3" t="s">
        <v>117</v>
      </c>
      <c r="B97" s="1" t="s">
        <v>629</v>
      </c>
      <c r="C97" s="1">
        <f t="shared" si="2"/>
        <v>92.316000000000003</v>
      </c>
      <c r="D97" s="1">
        <v>0.318</v>
      </c>
      <c r="E97" s="1">
        <v>1.1100000000000001</v>
      </c>
      <c r="F97" s="1">
        <v>0.55800000000000005</v>
      </c>
      <c r="G97" s="1">
        <v>0.496</v>
      </c>
      <c r="H97" s="1">
        <v>0</v>
      </c>
      <c r="I97" s="1">
        <v>5.07</v>
      </c>
      <c r="J97" s="1">
        <v>0</v>
      </c>
      <c r="K97" s="1">
        <v>0</v>
      </c>
      <c r="L97" s="1">
        <v>0</v>
      </c>
      <c r="M97" s="1">
        <v>0</v>
      </c>
      <c r="N97" s="1">
        <v>0.13200000000000001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3">
        <v>98</v>
      </c>
      <c r="AI97" s="3">
        <v>176</v>
      </c>
      <c r="AJ97" s="3">
        <v>4.4800000000000004</v>
      </c>
    </row>
    <row r="98" spans="1:36" s="3" customFormat="1" x14ac:dyDescent="0.2">
      <c r="A98" s="3" t="s">
        <v>118</v>
      </c>
      <c r="B98" s="1" t="s">
        <v>626</v>
      </c>
      <c r="C98" s="1">
        <f t="shared" si="2"/>
        <v>89.846999999999994</v>
      </c>
      <c r="D98" s="1">
        <v>0</v>
      </c>
      <c r="E98" s="1">
        <v>0</v>
      </c>
      <c r="F98" s="1">
        <v>0</v>
      </c>
      <c r="G98" s="1">
        <v>0.85000000000000009</v>
      </c>
      <c r="H98" s="1">
        <v>0</v>
      </c>
      <c r="I98" s="1">
        <v>9.1</v>
      </c>
      <c r="J98" s="1">
        <v>0</v>
      </c>
      <c r="K98" s="1">
        <v>0</v>
      </c>
      <c r="L98" s="1">
        <v>0</v>
      </c>
      <c r="M98" s="1">
        <v>0</v>
      </c>
      <c r="N98" s="1">
        <v>0.15</v>
      </c>
      <c r="O98" s="1">
        <v>0</v>
      </c>
      <c r="P98" s="1">
        <v>0</v>
      </c>
      <c r="Q98" s="1">
        <v>3.0000000000000001E-3</v>
      </c>
      <c r="R98" s="1">
        <v>0.05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3">
        <v>152</v>
      </c>
      <c r="AI98" s="3">
        <v>234</v>
      </c>
      <c r="AJ98" s="3">
        <v>3</v>
      </c>
    </row>
    <row r="99" spans="1:36" s="3" customFormat="1" x14ac:dyDescent="0.2">
      <c r="A99" s="3" t="s">
        <v>118</v>
      </c>
      <c r="B99" s="1" t="s">
        <v>625</v>
      </c>
      <c r="C99" s="1">
        <f t="shared" si="2"/>
        <v>89.846999999999994</v>
      </c>
      <c r="D99" s="1">
        <v>0</v>
      </c>
      <c r="E99" s="1">
        <v>0</v>
      </c>
      <c r="F99" s="1">
        <v>0</v>
      </c>
      <c r="G99" s="1">
        <v>0.85000000000000009</v>
      </c>
      <c r="H99" s="1">
        <v>0</v>
      </c>
      <c r="I99" s="1">
        <v>9.1</v>
      </c>
      <c r="J99" s="1">
        <v>0</v>
      </c>
      <c r="K99" s="1">
        <v>0</v>
      </c>
      <c r="L99" s="1">
        <v>0</v>
      </c>
      <c r="M99" s="1">
        <v>0</v>
      </c>
      <c r="N99" s="1">
        <v>0.15</v>
      </c>
      <c r="O99" s="1">
        <v>0</v>
      </c>
      <c r="P99" s="1">
        <v>0</v>
      </c>
      <c r="Q99" s="1">
        <v>3.0000000000000001E-3</v>
      </c>
      <c r="R99" s="1">
        <v>0.05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3">
        <v>95</v>
      </c>
      <c r="AI99" s="3">
        <v>140</v>
      </c>
      <c r="AJ99" s="3">
        <v>33</v>
      </c>
    </row>
    <row r="100" spans="1:36" s="3" customFormat="1" x14ac:dyDescent="0.2">
      <c r="A100" s="3" t="s">
        <v>119</v>
      </c>
      <c r="B100" s="1" t="s">
        <v>626</v>
      </c>
      <c r="C100" s="1">
        <f t="shared" si="2"/>
        <v>99.224999999999994</v>
      </c>
      <c r="D100" s="1">
        <v>0</v>
      </c>
      <c r="E100" s="1">
        <v>0.22999999999999998</v>
      </c>
      <c r="F100" s="1">
        <v>0</v>
      </c>
      <c r="G100" s="1">
        <v>0.01</v>
      </c>
      <c r="H100" s="1">
        <v>0</v>
      </c>
      <c r="I100" s="1">
        <v>0.01</v>
      </c>
      <c r="J100" s="1">
        <v>0</v>
      </c>
      <c r="K100" s="1">
        <v>0</v>
      </c>
      <c r="L100" s="1">
        <v>0</v>
      </c>
      <c r="M100" s="1">
        <v>0</v>
      </c>
      <c r="N100" s="1">
        <v>0.02</v>
      </c>
      <c r="O100" s="1">
        <v>0</v>
      </c>
      <c r="P100" s="1">
        <v>0</v>
      </c>
      <c r="Q100" s="1">
        <v>5.0000000000000001E-3</v>
      </c>
      <c r="R100" s="1">
        <v>0.5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3">
        <v>80</v>
      </c>
      <c r="AI100" s="3">
        <v>205</v>
      </c>
      <c r="AJ100" s="3">
        <v>20.6</v>
      </c>
    </row>
    <row r="101" spans="1:36" s="3" customFormat="1" x14ac:dyDescent="0.2">
      <c r="A101" s="3" t="s">
        <v>120</v>
      </c>
      <c r="B101" s="1" t="s">
        <v>627</v>
      </c>
      <c r="C101" s="1">
        <f t="shared" si="2"/>
        <v>94.727999999999994</v>
      </c>
      <c r="D101" s="1">
        <v>0</v>
      </c>
      <c r="E101" s="1">
        <v>0</v>
      </c>
      <c r="F101" s="1">
        <v>0</v>
      </c>
      <c r="G101" s="1">
        <v>0.01</v>
      </c>
      <c r="H101" s="1">
        <v>0</v>
      </c>
      <c r="I101" s="1">
        <v>5.0999999999999996</v>
      </c>
      <c r="J101" s="1">
        <v>0</v>
      </c>
      <c r="K101" s="1">
        <v>0</v>
      </c>
      <c r="L101" s="1">
        <v>0</v>
      </c>
      <c r="M101" s="1">
        <v>0</v>
      </c>
      <c r="N101" s="1">
        <v>0.15</v>
      </c>
      <c r="O101" s="1">
        <v>0</v>
      </c>
      <c r="P101" s="1">
        <v>0</v>
      </c>
      <c r="Q101" s="1">
        <v>2E-3</v>
      </c>
      <c r="R101" s="1">
        <v>0.01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3">
        <v>112</v>
      </c>
      <c r="AI101" s="3">
        <v>173.5</v>
      </c>
      <c r="AJ101" s="3">
        <v>2.5</v>
      </c>
    </row>
    <row r="102" spans="1:36" s="3" customFormat="1" x14ac:dyDescent="0.2">
      <c r="A102" s="3" t="s">
        <v>120</v>
      </c>
      <c r="B102" s="1" t="s">
        <v>627</v>
      </c>
      <c r="C102" s="1">
        <f t="shared" si="2"/>
        <v>94.727999999999994</v>
      </c>
      <c r="D102" s="1">
        <v>0</v>
      </c>
      <c r="E102" s="1">
        <v>0</v>
      </c>
      <c r="F102" s="1">
        <v>0</v>
      </c>
      <c r="G102" s="1">
        <v>0.01</v>
      </c>
      <c r="H102" s="1">
        <v>0</v>
      </c>
      <c r="I102" s="1">
        <v>5.0999999999999996</v>
      </c>
      <c r="J102" s="1">
        <v>0</v>
      </c>
      <c r="K102" s="1">
        <v>0</v>
      </c>
      <c r="L102" s="1">
        <v>0</v>
      </c>
      <c r="M102" s="1">
        <v>0</v>
      </c>
      <c r="N102" s="1">
        <v>0.15</v>
      </c>
      <c r="O102" s="1">
        <v>0</v>
      </c>
      <c r="P102" s="1">
        <v>0</v>
      </c>
      <c r="Q102" s="1">
        <v>2E-3</v>
      </c>
      <c r="R102" s="1">
        <v>0.01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3">
        <v>130</v>
      </c>
      <c r="AI102" s="3">
        <v>210</v>
      </c>
      <c r="AJ102" s="3">
        <v>8.5</v>
      </c>
    </row>
    <row r="103" spans="1:36" s="3" customFormat="1" x14ac:dyDescent="0.2">
      <c r="A103" s="3" t="s">
        <v>121</v>
      </c>
      <c r="B103" s="1" t="s">
        <v>626</v>
      </c>
      <c r="C103" s="1">
        <f t="shared" si="2"/>
        <v>96.575000000000003</v>
      </c>
      <c r="D103" s="1">
        <v>0</v>
      </c>
      <c r="E103" s="1">
        <v>0</v>
      </c>
      <c r="F103" s="1">
        <v>0</v>
      </c>
      <c r="G103" s="1">
        <v>2.2999999999999998</v>
      </c>
      <c r="H103" s="1">
        <v>0</v>
      </c>
      <c r="I103" s="1">
        <v>0</v>
      </c>
      <c r="J103" s="1">
        <v>0.5</v>
      </c>
      <c r="K103" s="1">
        <v>0.625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3">
        <v>180</v>
      </c>
      <c r="AI103" s="3">
        <v>235</v>
      </c>
      <c r="AJ103" s="3">
        <v>4</v>
      </c>
    </row>
    <row r="104" spans="1:36" s="3" customFormat="1" x14ac:dyDescent="0.2">
      <c r="A104" s="3" t="s">
        <v>111</v>
      </c>
      <c r="B104" s="1" t="s">
        <v>627</v>
      </c>
      <c r="C104" s="1">
        <f t="shared" si="2"/>
        <v>89.99799999999999</v>
      </c>
      <c r="D104" s="1">
        <v>0</v>
      </c>
      <c r="E104" s="1">
        <v>0</v>
      </c>
      <c r="F104" s="1">
        <v>0</v>
      </c>
      <c r="G104" s="1">
        <v>0.98</v>
      </c>
      <c r="H104" s="1">
        <v>0</v>
      </c>
      <c r="I104" s="1">
        <v>8.8000000000000007</v>
      </c>
      <c r="J104" s="1">
        <v>0</v>
      </c>
      <c r="K104" s="1">
        <v>0</v>
      </c>
      <c r="L104" s="1">
        <v>0</v>
      </c>
      <c r="M104" s="1">
        <v>0</v>
      </c>
      <c r="N104" s="1">
        <v>0.21</v>
      </c>
      <c r="O104" s="1">
        <v>0</v>
      </c>
      <c r="P104" s="1">
        <v>0</v>
      </c>
      <c r="Q104" s="1">
        <v>2E-3</v>
      </c>
      <c r="R104" s="1">
        <v>0.01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3">
        <v>150</v>
      </c>
      <c r="AI104" s="3">
        <v>250</v>
      </c>
      <c r="AJ104" s="3">
        <v>7</v>
      </c>
    </row>
    <row r="105" spans="1:36" s="3" customFormat="1" x14ac:dyDescent="0.2">
      <c r="A105" s="3" t="s">
        <v>122</v>
      </c>
      <c r="B105" s="1" t="s">
        <v>627</v>
      </c>
      <c r="C105" s="1">
        <f t="shared" si="2"/>
        <v>97.718999999999994</v>
      </c>
      <c r="D105" s="1">
        <v>0</v>
      </c>
      <c r="E105" s="1">
        <v>0</v>
      </c>
      <c r="F105" s="1">
        <v>0</v>
      </c>
      <c r="G105" s="1">
        <v>0.01</v>
      </c>
      <c r="H105" s="1">
        <v>0</v>
      </c>
      <c r="I105" s="1">
        <v>2.2000000000000002</v>
      </c>
      <c r="J105" s="1">
        <v>0</v>
      </c>
      <c r="K105" s="1">
        <v>0</v>
      </c>
      <c r="L105" s="1">
        <v>0</v>
      </c>
      <c r="M105" s="1">
        <v>0</v>
      </c>
      <c r="N105" s="1">
        <v>0.06</v>
      </c>
      <c r="O105" s="1">
        <v>0</v>
      </c>
      <c r="P105" s="1">
        <v>0</v>
      </c>
      <c r="Q105" s="1">
        <v>1E-3</v>
      </c>
      <c r="R105" s="1">
        <v>0.01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3">
        <v>86</v>
      </c>
      <c r="AI105" s="3">
        <v>147.5</v>
      </c>
      <c r="AJ105" s="3">
        <v>5.5</v>
      </c>
    </row>
    <row r="106" spans="1:36" s="3" customFormat="1" x14ac:dyDescent="0.2">
      <c r="A106" s="3" t="s">
        <v>122</v>
      </c>
      <c r="B106" s="1" t="s">
        <v>627</v>
      </c>
      <c r="C106" s="1">
        <f t="shared" si="2"/>
        <v>97.718999999999994</v>
      </c>
      <c r="D106" s="1">
        <v>0</v>
      </c>
      <c r="E106" s="1">
        <v>0</v>
      </c>
      <c r="F106" s="1">
        <v>0</v>
      </c>
      <c r="G106" s="1">
        <v>0.01</v>
      </c>
      <c r="H106" s="1">
        <v>0</v>
      </c>
      <c r="I106" s="1">
        <v>2.2000000000000002</v>
      </c>
      <c r="J106" s="1">
        <v>0</v>
      </c>
      <c r="K106" s="1">
        <v>0</v>
      </c>
      <c r="L106" s="1">
        <v>0</v>
      </c>
      <c r="M106" s="1">
        <v>0</v>
      </c>
      <c r="N106" s="1">
        <v>0.06</v>
      </c>
      <c r="O106" s="1">
        <v>0</v>
      </c>
      <c r="P106" s="1">
        <v>0</v>
      </c>
      <c r="Q106" s="1">
        <v>1E-3</v>
      </c>
      <c r="R106" s="1">
        <v>0.01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3">
        <v>110</v>
      </c>
      <c r="AI106" s="3">
        <v>190</v>
      </c>
      <c r="AJ106" s="3">
        <v>11</v>
      </c>
    </row>
    <row r="107" spans="1:36" s="3" customFormat="1" x14ac:dyDescent="0.2">
      <c r="A107" s="3" t="s">
        <v>123</v>
      </c>
      <c r="B107" s="1" t="s">
        <v>629</v>
      </c>
      <c r="C107" s="1">
        <f t="shared" si="2"/>
        <v>90.588999999999999</v>
      </c>
      <c r="D107" s="1">
        <v>0.14599999999999999</v>
      </c>
      <c r="E107" s="1">
        <v>0.48299999999999998</v>
      </c>
      <c r="F107" s="1">
        <v>0.25800000000000001</v>
      </c>
      <c r="G107" s="1">
        <v>0.82799999999999996</v>
      </c>
      <c r="H107" s="1">
        <v>0</v>
      </c>
      <c r="I107" s="1">
        <v>7.41</v>
      </c>
      <c r="J107" s="1">
        <v>0</v>
      </c>
      <c r="K107" s="1">
        <v>0</v>
      </c>
      <c r="L107" s="1">
        <v>0</v>
      </c>
      <c r="M107" s="1">
        <v>0</v>
      </c>
      <c r="N107" s="1">
        <v>0.17399999999999999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0.11200000000000002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3">
        <v>106</v>
      </c>
      <c r="AI107" s="3">
        <v>166</v>
      </c>
      <c r="AJ107" s="3">
        <v>3.73</v>
      </c>
    </row>
    <row r="108" spans="1:36" s="3" customFormat="1" x14ac:dyDescent="0.2">
      <c r="A108" s="3" t="s">
        <v>124</v>
      </c>
      <c r="B108" s="1" t="s">
        <v>625</v>
      </c>
      <c r="C108" s="1">
        <v>90.8</v>
      </c>
      <c r="D108" s="1">
        <v>1</v>
      </c>
      <c r="E108" s="1">
        <v>1</v>
      </c>
      <c r="F108" s="1">
        <v>1</v>
      </c>
      <c r="G108" s="1">
        <v>0.2</v>
      </c>
      <c r="H108" s="1">
        <v>0</v>
      </c>
      <c r="I108" s="1">
        <v>0</v>
      </c>
      <c r="J108" s="1">
        <v>0</v>
      </c>
      <c r="K108" s="1">
        <v>0.7</v>
      </c>
      <c r="L108" s="1">
        <v>0</v>
      </c>
      <c r="M108" s="1">
        <v>0</v>
      </c>
      <c r="N108" s="1">
        <v>0.15</v>
      </c>
      <c r="O108" s="1">
        <v>5.1100000000000003</v>
      </c>
      <c r="P108" s="1">
        <v>0</v>
      </c>
      <c r="Q108" s="1">
        <v>0.03</v>
      </c>
      <c r="R108" s="1">
        <v>0.01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3">
        <v>165</v>
      </c>
      <c r="AI108" s="3">
        <v>248</v>
      </c>
      <c r="AJ108" s="3">
        <v>2</v>
      </c>
    </row>
    <row r="109" spans="1:36" s="3" customFormat="1" x14ac:dyDescent="0.2">
      <c r="A109" s="3" t="s">
        <v>125</v>
      </c>
      <c r="B109" s="1" t="s">
        <v>625</v>
      </c>
      <c r="C109" s="1">
        <v>91.35</v>
      </c>
      <c r="D109" s="1">
        <v>3.4000000000000004</v>
      </c>
      <c r="E109" s="1">
        <v>0</v>
      </c>
      <c r="F109" s="1">
        <v>0</v>
      </c>
      <c r="G109" s="1">
        <v>0.2</v>
      </c>
      <c r="H109" s="1">
        <v>0</v>
      </c>
      <c r="I109" s="1">
        <v>0</v>
      </c>
      <c r="J109" s="1">
        <v>0</v>
      </c>
      <c r="K109" s="1">
        <v>0.7</v>
      </c>
      <c r="L109" s="1">
        <v>0</v>
      </c>
      <c r="M109" s="1">
        <v>0</v>
      </c>
      <c r="N109" s="1">
        <v>0.15</v>
      </c>
      <c r="O109" s="1">
        <v>4</v>
      </c>
      <c r="P109" s="1">
        <v>0</v>
      </c>
      <c r="Q109" s="1">
        <v>0</v>
      </c>
      <c r="R109" s="1">
        <v>0</v>
      </c>
      <c r="S109" s="1">
        <v>0.2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3">
        <v>162</v>
      </c>
      <c r="AI109" s="3">
        <v>250</v>
      </c>
      <c r="AJ109" s="3">
        <v>2</v>
      </c>
    </row>
    <row r="110" spans="1:36" s="3" customFormat="1" x14ac:dyDescent="0.2">
      <c r="A110" s="3" t="s">
        <v>126</v>
      </c>
      <c r="B110" s="1" t="s">
        <v>627</v>
      </c>
      <c r="C110" s="1">
        <v>94.45</v>
      </c>
      <c r="D110" s="1">
        <v>0</v>
      </c>
      <c r="E110" s="1">
        <v>0</v>
      </c>
      <c r="F110" s="1">
        <v>0</v>
      </c>
      <c r="G110" s="1">
        <v>0.22</v>
      </c>
      <c r="H110" s="1">
        <v>0</v>
      </c>
      <c r="I110" s="1">
        <v>4.9000000000000004</v>
      </c>
      <c r="J110" s="1">
        <v>0</v>
      </c>
      <c r="K110" s="1">
        <v>0</v>
      </c>
      <c r="L110" s="1">
        <v>0</v>
      </c>
      <c r="M110" s="1">
        <v>0</v>
      </c>
      <c r="N110" s="1">
        <v>0.43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3">
        <v>124</v>
      </c>
      <c r="AI110" s="3">
        <v>228</v>
      </c>
      <c r="AJ110" s="3">
        <v>15</v>
      </c>
    </row>
    <row r="111" spans="1:36" s="3" customFormat="1" x14ac:dyDescent="0.2">
      <c r="A111" s="3" t="s">
        <v>127</v>
      </c>
      <c r="B111" s="1" t="s">
        <v>626</v>
      </c>
      <c r="C111" s="1">
        <v>92.7</v>
      </c>
      <c r="D111" s="1">
        <v>0</v>
      </c>
      <c r="E111" s="1">
        <v>0</v>
      </c>
      <c r="F111" s="1">
        <v>0</v>
      </c>
      <c r="G111" s="1">
        <v>6.4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0.90000000000000013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3">
        <v>213</v>
      </c>
      <c r="AI111" s="3">
        <v>321</v>
      </c>
      <c r="AJ111" s="3">
        <v>41</v>
      </c>
    </row>
    <row r="112" spans="1:36" s="3" customFormat="1" x14ac:dyDescent="0.2">
      <c r="A112" s="3" t="s">
        <v>128</v>
      </c>
      <c r="B112" s="1" t="s">
        <v>625</v>
      </c>
      <c r="C112" s="1">
        <v>95.37</v>
      </c>
      <c r="D112" s="1">
        <v>2</v>
      </c>
      <c r="E112" s="1">
        <v>0</v>
      </c>
      <c r="F112" s="1">
        <v>0</v>
      </c>
      <c r="G112" s="1">
        <v>0.45000000000000007</v>
      </c>
      <c r="H112" s="1">
        <v>0</v>
      </c>
      <c r="I112" s="1">
        <v>0.02</v>
      </c>
      <c r="J112" s="1">
        <v>0</v>
      </c>
      <c r="K112" s="1">
        <v>0.4</v>
      </c>
      <c r="L112" s="1">
        <v>0</v>
      </c>
      <c r="M112" s="1">
        <v>0</v>
      </c>
      <c r="N112" s="1">
        <v>0</v>
      </c>
      <c r="O112" s="1">
        <v>1.7000000000000002</v>
      </c>
      <c r="P112" s="1">
        <v>0</v>
      </c>
      <c r="Q112" s="1">
        <v>0.03</v>
      </c>
      <c r="R112" s="1">
        <v>0.03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3">
        <v>175</v>
      </c>
      <c r="AI112" s="3">
        <v>265</v>
      </c>
      <c r="AJ112" s="3">
        <v>3.3</v>
      </c>
    </row>
    <row r="113" spans="1:36" s="3" customFormat="1" x14ac:dyDescent="0.2">
      <c r="A113" s="3" t="s">
        <v>129</v>
      </c>
      <c r="B113" s="1" t="s">
        <v>626</v>
      </c>
      <c r="C113" s="1">
        <v>90.15</v>
      </c>
      <c r="D113" s="1">
        <v>0</v>
      </c>
      <c r="E113" s="1">
        <v>0</v>
      </c>
      <c r="F113" s="1">
        <v>0</v>
      </c>
      <c r="G113" s="1">
        <v>0.7</v>
      </c>
      <c r="H113" s="1">
        <v>0</v>
      </c>
      <c r="I113" s="1">
        <v>9</v>
      </c>
      <c r="J113" s="1">
        <v>0</v>
      </c>
      <c r="K113" s="1">
        <v>0</v>
      </c>
      <c r="L113" s="1">
        <v>0</v>
      </c>
      <c r="M113" s="1">
        <v>0</v>
      </c>
      <c r="N113" s="1">
        <v>0.15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3">
        <v>296</v>
      </c>
      <c r="AI113" s="3">
        <v>385</v>
      </c>
      <c r="AJ113" s="3">
        <v>17</v>
      </c>
    </row>
    <row r="114" spans="1:36" s="3" customFormat="1" x14ac:dyDescent="0.2">
      <c r="A114" s="3" t="s">
        <v>130</v>
      </c>
      <c r="B114" s="1" t="s">
        <v>629</v>
      </c>
      <c r="C114" s="1">
        <v>91.9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0.7</v>
      </c>
      <c r="L114" s="1">
        <v>0</v>
      </c>
      <c r="M114" s="1">
        <v>0</v>
      </c>
      <c r="N114" s="1">
        <v>0</v>
      </c>
      <c r="O114" s="1">
        <v>4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0.4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3">
        <v>207</v>
      </c>
      <c r="AI114" s="3">
        <v>276</v>
      </c>
      <c r="AJ114" s="3">
        <v>2</v>
      </c>
    </row>
    <row r="115" spans="1:36" s="3" customFormat="1" x14ac:dyDescent="0.2">
      <c r="A115" s="3" t="s">
        <v>131</v>
      </c>
      <c r="B115" s="1" t="s">
        <v>629</v>
      </c>
      <c r="C115" s="1">
        <v>90.7</v>
      </c>
      <c r="D115" s="1">
        <v>0</v>
      </c>
      <c r="E115" s="1">
        <v>0</v>
      </c>
      <c r="F115" s="1">
        <v>0</v>
      </c>
      <c r="G115" s="1">
        <v>2.9</v>
      </c>
      <c r="H115" s="1">
        <v>0</v>
      </c>
      <c r="I115" s="1">
        <v>5.9</v>
      </c>
      <c r="J115" s="1">
        <v>0</v>
      </c>
      <c r="K115" s="1">
        <v>0</v>
      </c>
      <c r="L115" s="1">
        <v>0</v>
      </c>
      <c r="M115" s="1">
        <v>0</v>
      </c>
      <c r="N115" s="1">
        <v>0.2</v>
      </c>
      <c r="O115" s="1">
        <v>0</v>
      </c>
      <c r="P115" s="1">
        <v>0</v>
      </c>
      <c r="Q115" s="1">
        <v>0</v>
      </c>
      <c r="R115" s="1">
        <v>0.3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3">
        <v>97</v>
      </c>
      <c r="AI115" s="3">
        <v>200</v>
      </c>
      <c r="AJ115" s="3">
        <v>6</v>
      </c>
    </row>
    <row r="116" spans="1:36" s="3" customFormat="1" x14ac:dyDescent="0.2">
      <c r="A116" s="3" t="s">
        <v>132</v>
      </c>
      <c r="B116" s="1" t="s">
        <v>626</v>
      </c>
      <c r="C116" s="1">
        <v>95.61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3</v>
      </c>
      <c r="J116" s="1">
        <v>0.04</v>
      </c>
      <c r="K116" s="1">
        <v>0</v>
      </c>
      <c r="L116" s="1">
        <v>0</v>
      </c>
      <c r="M116" s="1">
        <v>0</v>
      </c>
      <c r="N116" s="1">
        <v>0.2</v>
      </c>
      <c r="O116" s="1">
        <v>0</v>
      </c>
      <c r="P116" s="1">
        <v>0</v>
      </c>
      <c r="Q116" s="1">
        <v>0.05</v>
      </c>
      <c r="R116" s="1">
        <v>0.1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3">
        <v>165</v>
      </c>
      <c r="AI116" s="3">
        <v>241</v>
      </c>
      <c r="AJ116" s="3">
        <v>16</v>
      </c>
    </row>
    <row r="117" spans="1:36" s="3" customFormat="1" x14ac:dyDescent="0.2">
      <c r="A117" s="3" t="s">
        <v>132</v>
      </c>
      <c r="B117" s="1" t="s">
        <v>628</v>
      </c>
      <c r="C117" s="1">
        <v>95.61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3</v>
      </c>
      <c r="J117" s="1">
        <v>0.04</v>
      </c>
      <c r="K117" s="1">
        <v>0</v>
      </c>
      <c r="L117" s="1">
        <v>0</v>
      </c>
      <c r="M117" s="1">
        <v>0</v>
      </c>
      <c r="N117" s="1">
        <v>0.2</v>
      </c>
      <c r="O117" s="1">
        <v>0</v>
      </c>
      <c r="P117" s="1">
        <v>0</v>
      </c>
      <c r="Q117" s="1">
        <v>0.05</v>
      </c>
      <c r="R117" s="1">
        <v>0.1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3">
        <v>170</v>
      </c>
      <c r="AI117" s="3">
        <v>260</v>
      </c>
      <c r="AJ117" s="3">
        <v>15</v>
      </c>
    </row>
    <row r="118" spans="1:36" s="3" customFormat="1" x14ac:dyDescent="0.2">
      <c r="A118" s="3" t="s">
        <v>133</v>
      </c>
      <c r="B118" s="1" t="s">
        <v>626</v>
      </c>
      <c r="C118" s="1">
        <v>95.61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3</v>
      </c>
      <c r="J118" s="1">
        <v>0.04</v>
      </c>
      <c r="K118" s="1">
        <v>0</v>
      </c>
      <c r="L118" s="1">
        <v>0</v>
      </c>
      <c r="M118" s="1">
        <v>0</v>
      </c>
      <c r="N118" s="1">
        <v>0.2</v>
      </c>
      <c r="O118" s="1">
        <v>0</v>
      </c>
      <c r="P118" s="1">
        <v>0</v>
      </c>
      <c r="Q118" s="1">
        <v>0.05</v>
      </c>
      <c r="R118" s="1">
        <v>0.1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3">
        <v>200</v>
      </c>
      <c r="AI118" s="3">
        <v>260</v>
      </c>
      <c r="AJ118" s="3">
        <v>15</v>
      </c>
    </row>
    <row r="119" spans="1:36" s="3" customFormat="1" x14ac:dyDescent="0.2">
      <c r="A119" s="3" t="s">
        <v>134</v>
      </c>
      <c r="B119" s="1" t="s">
        <v>625</v>
      </c>
      <c r="C119" s="1">
        <v>95.61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3</v>
      </c>
      <c r="J119" s="1">
        <v>0.04</v>
      </c>
      <c r="K119" s="1">
        <v>0</v>
      </c>
      <c r="L119" s="1">
        <v>0</v>
      </c>
      <c r="M119" s="1">
        <v>0</v>
      </c>
      <c r="N119" s="1">
        <v>0.2</v>
      </c>
      <c r="O119" s="1">
        <v>0</v>
      </c>
      <c r="P119" s="1">
        <v>0</v>
      </c>
      <c r="Q119" s="1">
        <v>0.05</v>
      </c>
      <c r="R119" s="1">
        <v>0.1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3">
        <v>220</v>
      </c>
      <c r="AI119" s="3">
        <v>290</v>
      </c>
      <c r="AJ119" s="3">
        <v>15</v>
      </c>
    </row>
    <row r="120" spans="1:36" s="3" customFormat="1" x14ac:dyDescent="0.2">
      <c r="A120" s="3" t="s">
        <v>135</v>
      </c>
      <c r="B120" s="1" t="s">
        <v>625</v>
      </c>
      <c r="C120" s="1">
        <v>95.61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3</v>
      </c>
      <c r="J120" s="1">
        <v>0.04</v>
      </c>
      <c r="K120" s="1">
        <v>0</v>
      </c>
      <c r="L120" s="1">
        <v>0</v>
      </c>
      <c r="M120" s="1">
        <v>0</v>
      </c>
      <c r="N120" s="1">
        <v>0.2</v>
      </c>
      <c r="O120" s="1">
        <v>0</v>
      </c>
      <c r="P120" s="1">
        <v>0</v>
      </c>
      <c r="Q120" s="1">
        <v>0.05</v>
      </c>
      <c r="R120" s="1">
        <v>0.1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3">
        <v>190</v>
      </c>
      <c r="AI120" s="3">
        <v>275</v>
      </c>
      <c r="AJ120" s="3">
        <v>10</v>
      </c>
    </row>
    <row r="121" spans="1:36" s="3" customFormat="1" x14ac:dyDescent="0.2">
      <c r="A121" s="3" t="s">
        <v>136</v>
      </c>
      <c r="B121" s="1" t="s">
        <v>625</v>
      </c>
      <c r="C121" s="1">
        <v>95.61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3</v>
      </c>
      <c r="J121" s="1">
        <v>0.04</v>
      </c>
      <c r="K121" s="1">
        <v>0</v>
      </c>
      <c r="L121" s="1">
        <v>0</v>
      </c>
      <c r="M121" s="1">
        <v>0</v>
      </c>
      <c r="N121" s="1">
        <v>0.2</v>
      </c>
      <c r="O121" s="1">
        <v>0</v>
      </c>
      <c r="P121" s="1">
        <v>0</v>
      </c>
      <c r="Q121" s="1">
        <v>0.05</v>
      </c>
      <c r="R121" s="1">
        <v>0.1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3">
        <v>150</v>
      </c>
      <c r="AI121" s="3">
        <v>255</v>
      </c>
      <c r="AJ121" s="3">
        <v>21</v>
      </c>
    </row>
    <row r="122" spans="1:36" s="3" customFormat="1" x14ac:dyDescent="0.2">
      <c r="A122" s="3" t="s">
        <v>137</v>
      </c>
      <c r="B122" s="1" t="s">
        <v>627</v>
      </c>
      <c r="C122" s="1">
        <v>94.22</v>
      </c>
      <c r="D122" s="1">
        <v>0</v>
      </c>
      <c r="E122" s="1">
        <v>0</v>
      </c>
      <c r="F122" s="1">
        <v>0</v>
      </c>
      <c r="G122" s="1">
        <v>0.12</v>
      </c>
      <c r="H122" s="1">
        <v>0</v>
      </c>
      <c r="I122" s="1">
        <v>4.25</v>
      </c>
      <c r="J122" s="1">
        <v>0</v>
      </c>
      <c r="K122" s="1">
        <v>0</v>
      </c>
      <c r="L122" s="1">
        <v>0</v>
      </c>
      <c r="M122" s="1">
        <v>0</v>
      </c>
      <c r="N122" s="1">
        <v>0.35</v>
      </c>
      <c r="O122" s="1">
        <v>0</v>
      </c>
      <c r="P122" s="1">
        <v>0</v>
      </c>
      <c r="Q122" s="1">
        <v>0.06</v>
      </c>
      <c r="R122" s="1">
        <v>1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3">
        <v>138</v>
      </c>
      <c r="AI122" s="3">
        <v>214</v>
      </c>
      <c r="AJ122" s="3">
        <v>10.5</v>
      </c>
    </row>
    <row r="123" spans="1:36" s="3" customFormat="1" x14ac:dyDescent="0.2">
      <c r="A123" s="3" t="s">
        <v>138</v>
      </c>
      <c r="B123" s="1" t="s">
        <v>625</v>
      </c>
      <c r="C123" s="1">
        <v>95.6</v>
      </c>
      <c r="D123" s="1">
        <v>2.125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0.7</v>
      </c>
      <c r="L123" s="1">
        <v>1.5</v>
      </c>
      <c r="M123" s="1">
        <v>0</v>
      </c>
      <c r="N123" s="1">
        <v>0</v>
      </c>
      <c r="O123" s="1">
        <v>0</v>
      </c>
      <c r="P123" s="1">
        <v>0</v>
      </c>
      <c r="Q123" s="1">
        <v>7.4999999999999997E-2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3">
        <v>170</v>
      </c>
      <c r="AI123" s="3">
        <v>235</v>
      </c>
      <c r="AJ123" s="3">
        <v>2</v>
      </c>
    </row>
    <row r="124" spans="1:36" s="3" customFormat="1" x14ac:dyDescent="0.2">
      <c r="A124" s="3" t="s">
        <v>139</v>
      </c>
      <c r="B124" s="1" t="s">
        <v>625</v>
      </c>
      <c r="C124" s="1">
        <v>90.6</v>
      </c>
      <c r="D124" s="1">
        <v>0</v>
      </c>
      <c r="E124" s="1">
        <v>0</v>
      </c>
      <c r="F124" s="1">
        <v>0</v>
      </c>
      <c r="G124" s="1">
        <v>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0.5</v>
      </c>
      <c r="O124" s="1">
        <v>0</v>
      </c>
      <c r="P124" s="1">
        <v>0</v>
      </c>
      <c r="Q124" s="1">
        <v>2.7</v>
      </c>
      <c r="R124" s="1">
        <v>0.2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3">
        <v>172</v>
      </c>
      <c r="AI124" s="3">
        <v>248</v>
      </c>
      <c r="AJ124" s="3">
        <v>4</v>
      </c>
    </row>
    <row r="125" spans="1:36" s="3" customFormat="1" x14ac:dyDescent="0.2">
      <c r="A125" s="3" t="s">
        <v>140</v>
      </c>
      <c r="B125" s="1" t="s">
        <v>625</v>
      </c>
      <c r="C125" s="1">
        <v>90.6</v>
      </c>
      <c r="D125" s="1">
        <v>0</v>
      </c>
      <c r="E125" s="1">
        <v>0</v>
      </c>
      <c r="F125" s="1">
        <v>0</v>
      </c>
      <c r="G125" s="1">
        <v>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0.5</v>
      </c>
      <c r="O125" s="1">
        <v>0</v>
      </c>
      <c r="P125" s="1">
        <v>0</v>
      </c>
      <c r="Q125" s="1">
        <v>2.7</v>
      </c>
      <c r="R125" s="1">
        <v>0.2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3">
        <v>125</v>
      </c>
      <c r="AI125" s="3">
        <v>210</v>
      </c>
      <c r="AJ125" s="3">
        <v>4</v>
      </c>
    </row>
    <row r="126" spans="1:36" s="3" customFormat="1" x14ac:dyDescent="0.2">
      <c r="A126" s="3" t="s">
        <v>141</v>
      </c>
      <c r="B126" s="1" t="s">
        <v>627</v>
      </c>
      <c r="C126" s="1">
        <v>94.58</v>
      </c>
      <c r="D126" s="1">
        <v>0</v>
      </c>
      <c r="E126" s="1">
        <v>0</v>
      </c>
      <c r="F126" s="1">
        <v>0</v>
      </c>
      <c r="G126" s="1">
        <v>0.12</v>
      </c>
      <c r="H126" s="1">
        <v>0</v>
      </c>
      <c r="I126" s="1">
        <v>4.25</v>
      </c>
      <c r="J126" s="1">
        <v>0</v>
      </c>
      <c r="K126" s="1">
        <v>0</v>
      </c>
      <c r="L126" s="1">
        <v>0</v>
      </c>
      <c r="M126" s="1">
        <v>0</v>
      </c>
      <c r="N126" s="1">
        <v>0.35</v>
      </c>
      <c r="O126" s="1">
        <v>0</v>
      </c>
      <c r="P126" s="1">
        <v>0</v>
      </c>
      <c r="Q126" s="1">
        <v>0</v>
      </c>
      <c r="R126" s="1">
        <v>0.7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3">
        <v>138</v>
      </c>
      <c r="AI126" s="3">
        <v>214</v>
      </c>
      <c r="AJ126" s="3">
        <v>10.5</v>
      </c>
    </row>
    <row r="127" spans="1:36" s="3" customFormat="1" x14ac:dyDescent="0.2">
      <c r="A127" s="3" t="s">
        <v>142</v>
      </c>
      <c r="B127" s="1" t="s">
        <v>628</v>
      </c>
      <c r="C127" s="1">
        <v>98.5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0.3</v>
      </c>
      <c r="K127" s="1">
        <v>0</v>
      </c>
      <c r="L127" s="1">
        <v>0</v>
      </c>
      <c r="M127" s="1">
        <v>0</v>
      </c>
      <c r="N127" s="1">
        <v>1.2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3">
        <v>160</v>
      </c>
      <c r="AI127" s="3">
        <v>250</v>
      </c>
      <c r="AJ127" s="3">
        <v>7</v>
      </c>
    </row>
    <row r="128" spans="1:36" s="3" customFormat="1" x14ac:dyDescent="0.2">
      <c r="A128" s="3" t="s">
        <v>143</v>
      </c>
      <c r="B128" s="1" t="s">
        <v>628</v>
      </c>
      <c r="C128" s="1">
        <v>98.5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0.3</v>
      </c>
      <c r="K128" s="1">
        <v>0</v>
      </c>
      <c r="L128" s="1">
        <v>0</v>
      </c>
      <c r="M128" s="1">
        <v>0</v>
      </c>
      <c r="N128" s="1">
        <v>1.2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3">
        <v>180</v>
      </c>
      <c r="AI128" s="3">
        <v>240</v>
      </c>
      <c r="AJ128" s="3">
        <v>7</v>
      </c>
    </row>
    <row r="129" spans="1:36" s="3" customFormat="1" x14ac:dyDescent="0.2">
      <c r="A129" s="3" t="s">
        <v>144</v>
      </c>
      <c r="B129" s="1" t="s">
        <v>626</v>
      </c>
      <c r="C129" s="1">
        <v>98.5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0.3</v>
      </c>
      <c r="K129" s="1">
        <v>0</v>
      </c>
      <c r="L129" s="1">
        <v>0</v>
      </c>
      <c r="M129" s="1">
        <v>0</v>
      </c>
      <c r="N129" s="1">
        <v>1.2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3">
        <v>180</v>
      </c>
      <c r="AI129" s="3">
        <v>255</v>
      </c>
      <c r="AJ129" s="3">
        <v>12</v>
      </c>
    </row>
    <row r="130" spans="1:36" s="3" customFormat="1" x14ac:dyDescent="0.2">
      <c r="A130" s="3" t="s">
        <v>144</v>
      </c>
      <c r="B130" s="1" t="s">
        <v>628</v>
      </c>
      <c r="C130" s="1">
        <v>98.5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0.3</v>
      </c>
      <c r="K130" s="1">
        <v>0</v>
      </c>
      <c r="L130" s="1">
        <v>0</v>
      </c>
      <c r="M130" s="1">
        <v>0</v>
      </c>
      <c r="N130" s="1">
        <v>1.2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3">
        <v>159</v>
      </c>
      <c r="AI130" s="3">
        <v>248</v>
      </c>
      <c r="AJ130" s="3">
        <v>7</v>
      </c>
    </row>
    <row r="131" spans="1:36" s="3" customFormat="1" x14ac:dyDescent="0.2">
      <c r="A131" s="3" t="s">
        <v>145</v>
      </c>
      <c r="B131" s="1" t="s">
        <v>628</v>
      </c>
      <c r="C131" s="1">
        <v>98.5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0.3</v>
      </c>
      <c r="K131" s="1">
        <v>0</v>
      </c>
      <c r="L131" s="1">
        <v>0</v>
      </c>
      <c r="M131" s="1">
        <v>0</v>
      </c>
      <c r="N131" s="1">
        <v>1.2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3">
        <v>125</v>
      </c>
      <c r="AI131" s="3">
        <v>230</v>
      </c>
      <c r="AJ131" s="3">
        <v>17</v>
      </c>
    </row>
    <row r="132" spans="1:36" s="3" customFormat="1" x14ac:dyDescent="0.2">
      <c r="A132" s="3" t="s">
        <v>146</v>
      </c>
      <c r="B132" s="1" t="s">
        <v>629</v>
      </c>
      <c r="C132" s="1">
        <v>90.55</v>
      </c>
      <c r="D132" s="1">
        <v>0</v>
      </c>
      <c r="E132" s="1">
        <v>0</v>
      </c>
      <c r="F132" s="1">
        <v>0</v>
      </c>
      <c r="G132" s="1">
        <v>3</v>
      </c>
      <c r="H132" s="1">
        <v>0</v>
      </c>
      <c r="I132" s="1">
        <v>6</v>
      </c>
      <c r="J132" s="1">
        <v>0</v>
      </c>
      <c r="K132" s="1">
        <v>0</v>
      </c>
      <c r="L132" s="1">
        <v>0</v>
      </c>
      <c r="M132" s="1">
        <v>0</v>
      </c>
      <c r="N132" s="1">
        <v>0.15</v>
      </c>
      <c r="O132" s="1">
        <v>0</v>
      </c>
      <c r="P132" s="1">
        <v>0</v>
      </c>
      <c r="Q132" s="1">
        <v>0</v>
      </c>
      <c r="R132" s="1">
        <v>0.3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3">
        <v>97</v>
      </c>
      <c r="AI132" s="3">
        <v>200</v>
      </c>
      <c r="AJ132" s="3">
        <v>6</v>
      </c>
    </row>
    <row r="133" spans="1:36" s="3" customFormat="1" x14ac:dyDescent="0.2">
      <c r="A133" s="3" t="s">
        <v>147</v>
      </c>
      <c r="B133" s="1" t="s">
        <v>629</v>
      </c>
      <c r="C133" s="1">
        <v>90.55</v>
      </c>
      <c r="D133" s="1">
        <v>0</v>
      </c>
      <c r="E133" s="1">
        <v>0</v>
      </c>
      <c r="F133" s="1">
        <v>0</v>
      </c>
      <c r="G133" s="1">
        <v>3</v>
      </c>
      <c r="H133" s="1">
        <v>0</v>
      </c>
      <c r="I133" s="1">
        <v>6</v>
      </c>
      <c r="J133" s="1">
        <v>0</v>
      </c>
      <c r="K133" s="1">
        <v>0</v>
      </c>
      <c r="L133" s="1">
        <v>0</v>
      </c>
      <c r="M133" s="1">
        <v>0</v>
      </c>
      <c r="N133" s="1">
        <v>0.15</v>
      </c>
      <c r="O133" s="1">
        <v>0</v>
      </c>
      <c r="P133" s="1">
        <v>0</v>
      </c>
      <c r="Q133" s="1">
        <v>0</v>
      </c>
      <c r="R133" s="1">
        <v>0.3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3">
        <v>97</v>
      </c>
      <c r="AI133" s="3">
        <v>275</v>
      </c>
      <c r="AJ133" s="3">
        <v>12</v>
      </c>
    </row>
    <row r="134" spans="1:36" s="3" customFormat="1" x14ac:dyDescent="0.2">
      <c r="A134" s="3" t="s">
        <v>148</v>
      </c>
      <c r="B134" s="1" t="s">
        <v>629</v>
      </c>
      <c r="C134" s="1">
        <v>90.55</v>
      </c>
      <c r="D134" s="1">
        <v>0</v>
      </c>
      <c r="E134" s="1">
        <v>0</v>
      </c>
      <c r="F134" s="1">
        <v>0</v>
      </c>
      <c r="G134" s="1">
        <v>3</v>
      </c>
      <c r="H134" s="1">
        <v>0</v>
      </c>
      <c r="I134" s="1">
        <v>6</v>
      </c>
      <c r="J134" s="1">
        <v>0</v>
      </c>
      <c r="K134" s="1">
        <v>0</v>
      </c>
      <c r="L134" s="1">
        <v>0</v>
      </c>
      <c r="M134" s="1">
        <v>0</v>
      </c>
      <c r="N134" s="1">
        <v>0.15</v>
      </c>
      <c r="O134" s="1">
        <v>0</v>
      </c>
      <c r="P134" s="1">
        <v>0</v>
      </c>
      <c r="Q134" s="1">
        <v>0</v>
      </c>
      <c r="R134" s="1">
        <v>0.3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3">
        <v>105</v>
      </c>
      <c r="AI134" s="3">
        <v>200</v>
      </c>
      <c r="AJ134" s="3">
        <v>4</v>
      </c>
    </row>
    <row r="135" spans="1:36" s="3" customFormat="1" x14ac:dyDescent="0.2">
      <c r="A135" s="3" t="s">
        <v>149</v>
      </c>
      <c r="B135" s="1" t="s">
        <v>629</v>
      </c>
      <c r="C135" s="1">
        <v>90.55</v>
      </c>
      <c r="D135" s="1">
        <v>0</v>
      </c>
      <c r="E135" s="1">
        <v>0</v>
      </c>
      <c r="F135" s="1">
        <v>0</v>
      </c>
      <c r="G135" s="1">
        <v>3</v>
      </c>
      <c r="H135" s="1">
        <v>0</v>
      </c>
      <c r="I135" s="1">
        <v>6</v>
      </c>
      <c r="J135" s="1">
        <v>0</v>
      </c>
      <c r="K135" s="1">
        <v>0</v>
      </c>
      <c r="L135" s="1">
        <v>0</v>
      </c>
      <c r="M135" s="1">
        <v>0</v>
      </c>
      <c r="N135" s="1">
        <v>0.15</v>
      </c>
      <c r="O135" s="1">
        <v>0</v>
      </c>
      <c r="P135" s="1">
        <v>0</v>
      </c>
      <c r="Q135" s="1">
        <v>0</v>
      </c>
      <c r="R135" s="1">
        <v>0.3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3">
        <v>130</v>
      </c>
      <c r="AI135" s="3">
        <v>275</v>
      </c>
      <c r="AJ135" s="3">
        <v>5</v>
      </c>
    </row>
    <row r="136" spans="1:36" s="3" customFormat="1" x14ac:dyDescent="0.2">
      <c r="A136" s="3" t="s">
        <v>150</v>
      </c>
      <c r="B136" s="1" t="s">
        <v>629</v>
      </c>
      <c r="C136" s="1">
        <v>90.55</v>
      </c>
      <c r="D136" s="1">
        <v>0</v>
      </c>
      <c r="E136" s="1">
        <v>0</v>
      </c>
      <c r="F136" s="1">
        <v>0</v>
      </c>
      <c r="G136" s="1">
        <v>3</v>
      </c>
      <c r="H136" s="1">
        <v>0</v>
      </c>
      <c r="I136" s="1">
        <v>6</v>
      </c>
      <c r="J136" s="1">
        <v>0</v>
      </c>
      <c r="K136" s="1">
        <v>0</v>
      </c>
      <c r="L136" s="1">
        <v>0</v>
      </c>
      <c r="M136" s="1">
        <v>0</v>
      </c>
      <c r="N136" s="1">
        <v>0.15</v>
      </c>
      <c r="O136" s="1">
        <v>0</v>
      </c>
      <c r="P136" s="1">
        <v>0</v>
      </c>
      <c r="Q136" s="1">
        <v>0</v>
      </c>
      <c r="R136" s="1">
        <v>0.3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3">
        <v>115</v>
      </c>
      <c r="AI136" s="3">
        <v>275</v>
      </c>
      <c r="AJ136" s="3">
        <v>6</v>
      </c>
    </row>
    <row r="137" spans="1:36" s="3" customFormat="1" x14ac:dyDescent="0.2">
      <c r="A137" s="3" t="s">
        <v>151</v>
      </c>
      <c r="B137" s="1" t="s">
        <v>625</v>
      </c>
      <c r="C137" s="1">
        <v>93.55</v>
      </c>
      <c r="D137" s="1">
        <v>0</v>
      </c>
      <c r="E137" s="1">
        <v>1.25</v>
      </c>
      <c r="F137" s="1">
        <v>0</v>
      </c>
      <c r="G137" s="1">
        <v>4.25</v>
      </c>
      <c r="H137" s="1">
        <v>0</v>
      </c>
      <c r="I137" s="1">
        <v>0</v>
      </c>
      <c r="J137" s="1">
        <v>0</v>
      </c>
      <c r="K137" s="1">
        <v>0.7</v>
      </c>
      <c r="L137" s="1">
        <v>0</v>
      </c>
      <c r="M137" s="1">
        <v>0</v>
      </c>
      <c r="N137" s="1">
        <v>0.15</v>
      </c>
      <c r="O137" s="1">
        <v>0</v>
      </c>
      <c r="P137" s="1">
        <v>0</v>
      </c>
      <c r="Q137" s="1">
        <v>0.1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3">
        <v>140</v>
      </c>
      <c r="AI137" s="3">
        <v>205</v>
      </c>
      <c r="AJ137" s="3">
        <v>3.5</v>
      </c>
    </row>
    <row r="138" spans="1:36" s="3" customFormat="1" x14ac:dyDescent="0.2">
      <c r="A138" s="3" t="s">
        <v>152</v>
      </c>
      <c r="B138" s="1" t="s">
        <v>629</v>
      </c>
      <c r="C138" s="1">
        <v>89.1</v>
      </c>
      <c r="D138" s="1">
        <v>0</v>
      </c>
      <c r="E138" s="1">
        <v>0</v>
      </c>
      <c r="F138" s="1">
        <v>0</v>
      </c>
      <c r="G138" s="1">
        <v>0.5</v>
      </c>
      <c r="H138" s="1">
        <v>0</v>
      </c>
      <c r="I138" s="1">
        <v>9.5</v>
      </c>
      <c r="J138" s="1">
        <v>0</v>
      </c>
      <c r="K138" s="1">
        <v>0</v>
      </c>
      <c r="L138" s="1">
        <v>0</v>
      </c>
      <c r="M138" s="1">
        <v>0</v>
      </c>
      <c r="N138" s="1">
        <v>0.90000000000000013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3">
        <v>80</v>
      </c>
      <c r="AI138" s="3">
        <v>140</v>
      </c>
      <c r="AJ138" s="3">
        <v>3</v>
      </c>
    </row>
    <row r="139" spans="1:36" s="3" customFormat="1" x14ac:dyDescent="0.2">
      <c r="A139" s="3" t="s">
        <v>152</v>
      </c>
      <c r="B139" s="1" t="s">
        <v>625</v>
      </c>
      <c r="C139" s="1">
        <v>89.1</v>
      </c>
      <c r="D139" s="1">
        <v>0</v>
      </c>
      <c r="E139" s="1">
        <v>0</v>
      </c>
      <c r="F139" s="1">
        <v>0</v>
      </c>
      <c r="G139" s="1">
        <v>0.5</v>
      </c>
      <c r="H139" s="1">
        <v>0</v>
      </c>
      <c r="I139" s="1">
        <v>9.5</v>
      </c>
      <c r="J139" s="1">
        <v>0</v>
      </c>
      <c r="K139" s="1">
        <v>0</v>
      </c>
      <c r="L139" s="1">
        <v>0</v>
      </c>
      <c r="M139" s="1">
        <v>0</v>
      </c>
      <c r="N139" s="1">
        <v>0.90000000000000013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3">
        <v>80</v>
      </c>
      <c r="AI139" s="3">
        <v>220</v>
      </c>
      <c r="AJ139" s="3">
        <v>5</v>
      </c>
    </row>
    <row r="140" spans="1:36" s="3" customFormat="1" x14ac:dyDescent="0.2">
      <c r="A140" s="3" t="s">
        <v>111</v>
      </c>
      <c r="B140" s="1" t="s">
        <v>629</v>
      </c>
      <c r="C140" s="1">
        <v>89.1</v>
      </c>
      <c r="D140" s="1">
        <v>0</v>
      </c>
      <c r="E140" s="1">
        <v>0</v>
      </c>
      <c r="F140" s="1">
        <v>0</v>
      </c>
      <c r="G140" s="1">
        <v>0.5</v>
      </c>
      <c r="H140" s="1">
        <v>0</v>
      </c>
      <c r="I140" s="1">
        <v>9.5</v>
      </c>
      <c r="J140" s="1">
        <v>0</v>
      </c>
      <c r="K140" s="1">
        <v>0</v>
      </c>
      <c r="L140" s="1">
        <v>0</v>
      </c>
      <c r="M140" s="1">
        <v>0</v>
      </c>
      <c r="N140" s="1">
        <v>0.90000000000000013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3">
        <v>95</v>
      </c>
      <c r="AI140" s="3">
        <v>135</v>
      </c>
      <c r="AJ140" s="3">
        <v>2</v>
      </c>
    </row>
    <row r="141" spans="1:36" s="3" customFormat="1" x14ac:dyDescent="0.2">
      <c r="A141" s="3" t="s">
        <v>111</v>
      </c>
      <c r="B141" s="1" t="s">
        <v>625</v>
      </c>
      <c r="C141" s="1">
        <v>89.1</v>
      </c>
      <c r="D141" s="1">
        <v>0</v>
      </c>
      <c r="E141" s="1">
        <v>0</v>
      </c>
      <c r="F141" s="1">
        <v>0</v>
      </c>
      <c r="G141" s="1">
        <v>0.5</v>
      </c>
      <c r="H141" s="1">
        <v>0</v>
      </c>
      <c r="I141" s="1">
        <v>9.5</v>
      </c>
      <c r="J141" s="1">
        <v>0</v>
      </c>
      <c r="K141" s="1">
        <v>0</v>
      </c>
      <c r="L141" s="1">
        <v>0</v>
      </c>
      <c r="M141" s="1">
        <v>0</v>
      </c>
      <c r="N141" s="1">
        <v>0.90000000000000013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3">
        <v>80</v>
      </c>
      <c r="AI141" s="3">
        <v>230</v>
      </c>
      <c r="AJ141" s="3">
        <v>4</v>
      </c>
    </row>
    <row r="142" spans="1:36" s="3" customFormat="1" x14ac:dyDescent="0.2">
      <c r="A142" s="3" t="s">
        <v>111</v>
      </c>
      <c r="B142" s="1" t="s">
        <v>625</v>
      </c>
      <c r="C142" s="1">
        <v>89.1</v>
      </c>
      <c r="D142" s="1">
        <v>0</v>
      </c>
      <c r="E142" s="1">
        <v>0</v>
      </c>
      <c r="F142" s="1">
        <v>0</v>
      </c>
      <c r="G142" s="1">
        <v>0.5</v>
      </c>
      <c r="H142" s="1">
        <v>0</v>
      </c>
      <c r="I142" s="1">
        <v>9.5</v>
      </c>
      <c r="J142" s="1">
        <v>0</v>
      </c>
      <c r="K142" s="1">
        <v>0</v>
      </c>
      <c r="L142" s="1">
        <v>0</v>
      </c>
      <c r="M142" s="1">
        <v>0</v>
      </c>
      <c r="N142" s="1">
        <v>0.90000000000000013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3">
        <v>120</v>
      </c>
      <c r="AI142" s="3">
        <v>200</v>
      </c>
      <c r="AJ142" s="3">
        <v>3</v>
      </c>
    </row>
    <row r="143" spans="1:36" s="3" customFormat="1" x14ac:dyDescent="0.2">
      <c r="A143" s="3" t="s">
        <v>111</v>
      </c>
      <c r="B143" s="1" t="s">
        <v>627</v>
      </c>
      <c r="C143" s="1">
        <v>89.1</v>
      </c>
      <c r="D143" s="1">
        <v>0</v>
      </c>
      <c r="E143" s="1">
        <v>0</v>
      </c>
      <c r="F143" s="1">
        <v>0</v>
      </c>
      <c r="G143" s="1">
        <v>0.5</v>
      </c>
      <c r="H143" s="1">
        <v>0</v>
      </c>
      <c r="I143" s="1">
        <v>9.5</v>
      </c>
      <c r="J143" s="1">
        <v>0</v>
      </c>
      <c r="K143" s="1">
        <v>0</v>
      </c>
      <c r="L143" s="1">
        <v>0</v>
      </c>
      <c r="M143" s="1">
        <v>0</v>
      </c>
      <c r="N143" s="1">
        <v>0.90000000000000013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3">
        <v>100</v>
      </c>
      <c r="AI143" s="3">
        <v>170</v>
      </c>
      <c r="AJ143" s="3">
        <v>2</v>
      </c>
    </row>
    <row r="144" spans="1:36" s="3" customFormat="1" x14ac:dyDescent="0.2">
      <c r="A144" s="3" t="s">
        <v>111</v>
      </c>
      <c r="B144" s="1" t="s">
        <v>625</v>
      </c>
      <c r="C144" s="1">
        <v>89.1</v>
      </c>
      <c r="D144" s="1">
        <v>0</v>
      </c>
      <c r="E144" s="1">
        <v>0</v>
      </c>
      <c r="F144" s="1">
        <v>0</v>
      </c>
      <c r="G144" s="1">
        <v>0.5</v>
      </c>
      <c r="H144" s="1">
        <v>0</v>
      </c>
      <c r="I144" s="1">
        <v>9.5</v>
      </c>
      <c r="J144" s="1">
        <v>0</v>
      </c>
      <c r="K144" s="1">
        <v>0</v>
      </c>
      <c r="L144" s="1">
        <v>0</v>
      </c>
      <c r="M144" s="1">
        <v>0</v>
      </c>
      <c r="N144" s="1">
        <v>0.90000000000000013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3">
        <v>80</v>
      </c>
      <c r="AI144" s="3">
        <v>215</v>
      </c>
      <c r="AJ144" s="3">
        <v>5</v>
      </c>
    </row>
    <row r="145" spans="1:36" s="3" customFormat="1" x14ac:dyDescent="0.2">
      <c r="A145" s="3" t="s">
        <v>111</v>
      </c>
      <c r="B145" s="1" t="s">
        <v>625</v>
      </c>
      <c r="C145" s="1">
        <v>89.1</v>
      </c>
      <c r="D145" s="1">
        <v>0</v>
      </c>
      <c r="E145" s="1">
        <v>0</v>
      </c>
      <c r="F145" s="1">
        <v>0</v>
      </c>
      <c r="G145" s="1">
        <v>0.5</v>
      </c>
      <c r="H145" s="1">
        <v>0</v>
      </c>
      <c r="I145" s="1">
        <v>9.5</v>
      </c>
      <c r="J145" s="1">
        <v>0</v>
      </c>
      <c r="K145" s="1">
        <v>0</v>
      </c>
      <c r="L145" s="1">
        <v>0</v>
      </c>
      <c r="M145" s="1">
        <v>0</v>
      </c>
      <c r="N145" s="1">
        <v>0.90000000000000013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3">
        <v>120</v>
      </c>
      <c r="AI145" s="3">
        <v>215</v>
      </c>
      <c r="AJ145" s="3">
        <v>2</v>
      </c>
    </row>
    <row r="146" spans="1:36" s="3" customFormat="1" x14ac:dyDescent="0.2">
      <c r="A146" s="3" t="s">
        <v>153</v>
      </c>
      <c r="B146" s="1" t="s">
        <v>626</v>
      </c>
      <c r="C146" s="1">
        <v>81.5</v>
      </c>
      <c r="D146" s="1">
        <v>1</v>
      </c>
      <c r="E146" s="1">
        <v>0</v>
      </c>
      <c r="F146" s="1">
        <v>0</v>
      </c>
      <c r="G146" s="1">
        <v>1.5</v>
      </c>
      <c r="H146" s="1">
        <v>0</v>
      </c>
      <c r="I146" s="1">
        <v>0</v>
      </c>
      <c r="J146" s="1">
        <v>0</v>
      </c>
      <c r="K146" s="1">
        <v>0.5</v>
      </c>
      <c r="L146" s="1">
        <v>0</v>
      </c>
      <c r="M146" s="1">
        <v>0</v>
      </c>
      <c r="N146" s="1">
        <v>0</v>
      </c>
      <c r="O146" s="1">
        <v>4.5</v>
      </c>
      <c r="P146" s="1">
        <v>11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3">
        <v>373</v>
      </c>
      <c r="AI146" s="3">
        <v>473</v>
      </c>
      <c r="AJ146" s="3">
        <v>4.0999999999999996</v>
      </c>
    </row>
    <row r="147" spans="1:36" s="3" customFormat="1" x14ac:dyDescent="0.2">
      <c r="A147" s="3" t="s">
        <v>154</v>
      </c>
      <c r="B147" s="1" t="s">
        <v>625</v>
      </c>
      <c r="C147" s="1">
        <v>89.35</v>
      </c>
      <c r="D147" s="1">
        <v>0</v>
      </c>
      <c r="E147" s="1">
        <v>0</v>
      </c>
      <c r="F147" s="1">
        <v>0</v>
      </c>
      <c r="G147" s="1">
        <v>3</v>
      </c>
      <c r="H147" s="1">
        <v>0</v>
      </c>
      <c r="I147" s="1">
        <v>6.4</v>
      </c>
      <c r="J147" s="1">
        <v>0</v>
      </c>
      <c r="K147" s="1">
        <v>0</v>
      </c>
      <c r="L147" s="1">
        <v>0</v>
      </c>
      <c r="M147" s="1">
        <v>0</v>
      </c>
      <c r="N147" s="1">
        <v>0.25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3">
        <v>85</v>
      </c>
      <c r="AI147" s="3">
        <v>270</v>
      </c>
      <c r="AJ147" s="3">
        <v>8</v>
      </c>
    </row>
    <row r="148" spans="1:36" s="3" customFormat="1" x14ac:dyDescent="0.2">
      <c r="A148" s="3" t="s">
        <v>155</v>
      </c>
      <c r="B148" s="1" t="s">
        <v>626</v>
      </c>
      <c r="C148" s="1">
        <v>97.2</v>
      </c>
      <c r="D148" s="1">
        <v>0</v>
      </c>
      <c r="E148" s="1">
        <v>0</v>
      </c>
      <c r="F148" s="1">
        <v>0</v>
      </c>
      <c r="G148" s="1">
        <v>1.8000000000000003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3">
        <v>291</v>
      </c>
      <c r="AI148" s="3">
        <v>329</v>
      </c>
      <c r="AJ148" s="3">
        <v>15.8</v>
      </c>
    </row>
    <row r="149" spans="1:36" s="3" customFormat="1" x14ac:dyDescent="0.2">
      <c r="A149" s="3" t="s">
        <v>156</v>
      </c>
      <c r="B149" s="1" t="s">
        <v>625</v>
      </c>
      <c r="C149" s="1">
        <v>89.45</v>
      </c>
      <c r="D149" s="1">
        <v>0</v>
      </c>
      <c r="E149" s="1">
        <v>0</v>
      </c>
      <c r="F149" s="1">
        <v>0</v>
      </c>
      <c r="G149" s="1">
        <v>0.5</v>
      </c>
      <c r="H149" s="1">
        <v>0</v>
      </c>
      <c r="I149" s="1">
        <v>8.74</v>
      </c>
      <c r="J149" s="1">
        <v>0</v>
      </c>
      <c r="K149" s="1">
        <v>0</v>
      </c>
      <c r="L149" s="1">
        <v>0</v>
      </c>
      <c r="M149" s="1">
        <v>0</v>
      </c>
      <c r="N149" s="1">
        <v>0.31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3">
        <v>230</v>
      </c>
      <c r="AI149" s="3">
        <v>320</v>
      </c>
      <c r="AJ149" s="3">
        <v>8.5</v>
      </c>
    </row>
    <row r="150" spans="1:36" s="3" customFormat="1" x14ac:dyDescent="0.2">
      <c r="A150" s="3" t="s">
        <v>157</v>
      </c>
      <c r="B150" s="1" t="s">
        <v>626</v>
      </c>
      <c r="C150" s="1">
        <v>95.65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3</v>
      </c>
      <c r="J150" s="1">
        <v>0</v>
      </c>
      <c r="K150" s="1">
        <v>0</v>
      </c>
      <c r="L150" s="1">
        <v>0</v>
      </c>
      <c r="M150" s="1">
        <v>0</v>
      </c>
      <c r="N150" s="1">
        <v>0.15</v>
      </c>
      <c r="O150" s="1">
        <v>0</v>
      </c>
      <c r="P150" s="1">
        <v>0</v>
      </c>
      <c r="Q150" s="1">
        <v>0.1</v>
      </c>
      <c r="R150" s="1">
        <v>0.1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3">
        <v>200</v>
      </c>
      <c r="AI150" s="3">
        <v>260</v>
      </c>
      <c r="AJ150" s="3">
        <v>15</v>
      </c>
    </row>
    <row r="151" spans="1:36" s="3" customFormat="1" x14ac:dyDescent="0.2">
      <c r="A151" s="3" t="s">
        <v>158</v>
      </c>
      <c r="B151" s="1" t="s">
        <v>625</v>
      </c>
      <c r="C151" s="1">
        <v>91</v>
      </c>
      <c r="D151" s="1">
        <v>0</v>
      </c>
      <c r="E151" s="1">
        <v>0</v>
      </c>
      <c r="F151" s="1">
        <v>0</v>
      </c>
      <c r="G151" s="1">
        <v>2.5</v>
      </c>
      <c r="H151" s="1">
        <v>0</v>
      </c>
      <c r="I151" s="1">
        <v>6</v>
      </c>
      <c r="J151" s="1">
        <v>0</v>
      </c>
      <c r="K151" s="1">
        <v>0</v>
      </c>
      <c r="L151" s="1">
        <v>0</v>
      </c>
      <c r="M151" s="1">
        <v>0</v>
      </c>
      <c r="N151" s="1">
        <v>0.5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3">
        <v>110</v>
      </c>
      <c r="AI151" s="3">
        <v>230</v>
      </c>
      <c r="AJ151" s="3">
        <v>3</v>
      </c>
    </row>
    <row r="152" spans="1:36" s="3" customFormat="1" ht="16" x14ac:dyDescent="0.2">
      <c r="A152" s="5" t="s">
        <v>159</v>
      </c>
      <c r="B152" s="1" t="s">
        <v>625</v>
      </c>
      <c r="C152" s="1">
        <v>96.77</v>
      </c>
      <c r="D152" s="1">
        <v>2.5</v>
      </c>
      <c r="E152" s="1">
        <v>0</v>
      </c>
      <c r="F152" s="1">
        <v>0</v>
      </c>
      <c r="G152" s="1">
        <v>0.4</v>
      </c>
      <c r="H152" s="1">
        <v>0</v>
      </c>
      <c r="I152" s="1">
        <v>0.02</v>
      </c>
      <c r="J152" s="1">
        <v>0</v>
      </c>
      <c r="K152" s="1">
        <v>0.25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0.03</v>
      </c>
      <c r="R152" s="1">
        <v>0.03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3">
        <v>140</v>
      </c>
      <c r="AI152" s="3">
        <v>230</v>
      </c>
      <c r="AJ152" s="3">
        <v>3</v>
      </c>
    </row>
    <row r="153" spans="1:36" s="3" customFormat="1" x14ac:dyDescent="0.2">
      <c r="A153" s="3" t="s">
        <v>160</v>
      </c>
      <c r="B153" s="1" t="s">
        <v>626</v>
      </c>
      <c r="C153" s="1">
        <v>87.96</v>
      </c>
      <c r="D153" s="1">
        <v>3.7000000000000006</v>
      </c>
      <c r="E153" s="1">
        <v>1.71</v>
      </c>
      <c r="F153" s="1">
        <v>0.4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4.47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1.76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3">
        <v>528</v>
      </c>
      <c r="AI153" s="3">
        <v>536</v>
      </c>
      <c r="AJ153" s="3">
        <v>2</v>
      </c>
    </row>
    <row r="154" spans="1:36" s="3" customFormat="1" x14ac:dyDescent="0.2">
      <c r="A154" s="3" t="s">
        <v>161</v>
      </c>
      <c r="B154" s="1" t="s">
        <v>626</v>
      </c>
      <c r="C154" s="1">
        <v>87.96</v>
      </c>
      <c r="D154" s="1">
        <v>3.7000000000000006</v>
      </c>
      <c r="E154" s="1">
        <v>1.71</v>
      </c>
      <c r="F154" s="1">
        <v>0.4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4.47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1.76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3">
        <v>141</v>
      </c>
      <c r="AI154" s="3">
        <v>233</v>
      </c>
      <c r="AJ154" s="3">
        <v>16</v>
      </c>
    </row>
    <row r="155" spans="1:36" s="3" customFormat="1" x14ac:dyDescent="0.2">
      <c r="A155" s="3" t="s">
        <v>162</v>
      </c>
      <c r="B155" s="1" t="s">
        <v>626</v>
      </c>
      <c r="C155" s="1">
        <v>87.96</v>
      </c>
      <c r="D155" s="1">
        <v>3.7000000000000006</v>
      </c>
      <c r="E155" s="1">
        <v>1.71</v>
      </c>
      <c r="F155" s="1">
        <v>0.4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4.47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1.76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3">
        <v>178</v>
      </c>
      <c r="AI155" s="3">
        <v>301</v>
      </c>
      <c r="AJ155" s="3">
        <v>6</v>
      </c>
    </row>
    <row r="156" spans="1:36" s="3" customFormat="1" x14ac:dyDescent="0.2">
      <c r="A156" s="3" t="s">
        <v>163</v>
      </c>
      <c r="B156" s="1" t="s">
        <v>626</v>
      </c>
      <c r="C156" s="1">
        <v>87.96</v>
      </c>
      <c r="D156" s="1">
        <v>3.7000000000000006</v>
      </c>
      <c r="E156" s="1">
        <v>1.71</v>
      </c>
      <c r="F156" s="1">
        <v>0.4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4.47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1.76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3">
        <v>208</v>
      </c>
      <c r="AI156" s="3">
        <v>320</v>
      </c>
      <c r="AJ156" s="3">
        <v>20</v>
      </c>
    </row>
    <row r="157" spans="1:36" s="3" customFormat="1" x14ac:dyDescent="0.2">
      <c r="A157" s="3" t="s">
        <v>164</v>
      </c>
      <c r="B157" s="1" t="s">
        <v>625</v>
      </c>
      <c r="C157" s="1">
        <v>91.15</v>
      </c>
      <c r="D157" s="1">
        <v>0</v>
      </c>
      <c r="E157" s="1">
        <v>0</v>
      </c>
      <c r="F157" s="1">
        <v>0</v>
      </c>
      <c r="G157" s="1">
        <v>0.7</v>
      </c>
      <c r="H157" s="1">
        <v>0</v>
      </c>
      <c r="I157" s="1">
        <v>7.91</v>
      </c>
      <c r="J157" s="1">
        <v>0</v>
      </c>
      <c r="K157" s="1">
        <v>0</v>
      </c>
      <c r="L157" s="1">
        <v>0</v>
      </c>
      <c r="M157" s="1">
        <v>0</v>
      </c>
      <c r="N157" s="1">
        <v>0.24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3">
        <v>84</v>
      </c>
      <c r="AI157" s="3">
        <v>240</v>
      </c>
      <c r="AJ157" s="3">
        <v>8.8000000000000007</v>
      </c>
    </row>
    <row r="158" spans="1:36" s="3" customFormat="1" x14ac:dyDescent="0.2">
      <c r="A158" s="3" t="s">
        <v>165</v>
      </c>
      <c r="B158" s="1" t="s">
        <v>626</v>
      </c>
      <c r="C158" s="1">
        <v>91</v>
      </c>
      <c r="D158" s="1">
        <v>0</v>
      </c>
      <c r="E158" s="1">
        <v>0</v>
      </c>
      <c r="F158" s="1">
        <v>0</v>
      </c>
      <c r="G158" s="1">
        <v>1</v>
      </c>
      <c r="H158" s="1">
        <v>7.0000000000000009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3">
        <v>180</v>
      </c>
      <c r="AI158" s="3">
        <v>271</v>
      </c>
      <c r="AJ158" s="3">
        <v>14.8</v>
      </c>
    </row>
    <row r="159" spans="1:36" s="3" customFormat="1" x14ac:dyDescent="0.2">
      <c r="A159" s="3" t="s">
        <v>166</v>
      </c>
      <c r="B159" s="1" t="s">
        <v>626</v>
      </c>
      <c r="C159" s="1">
        <v>91</v>
      </c>
      <c r="D159" s="1">
        <v>0</v>
      </c>
      <c r="E159" s="1">
        <v>0</v>
      </c>
      <c r="F159" s="1">
        <v>0</v>
      </c>
      <c r="G159" s="1">
        <v>1</v>
      </c>
      <c r="H159" s="1">
        <v>7.0000000000000009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3">
        <v>240</v>
      </c>
      <c r="AI159" s="3">
        <v>305</v>
      </c>
      <c r="AJ159" s="3">
        <v>12</v>
      </c>
    </row>
    <row r="160" spans="1:36" s="3" customFormat="1" x14ac:dyDescent="0.2">
      <c r="A160" s="3" t="s">
        <v>746</v>
      </c>
      <c r="B160" s="1" t="s">
        <v>626</v>
      </c>
      <c r="C160" s="1">
        <v>91</v>
      </c>
      <c r="D160" s="1">
        <v>0</v>
      </c>
      <c r="E160" s="1">
        <v>0</v>
      </c>
      <c r="F160" s="1">
        <v>0</v>
      </c>
      <c r="G160" s="1">
        <v>1</v>
      </c>
      <c r="H160" s="1">
        <v>7.0000000000000009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3">
        <v>262</v>
      </c>
      <c r="AI160" s="3">
        <v>318</v>
      </c>
      <c r="AJ160" s="3">
        <v>10.4</v>
      </c>
    </row>
    <row r="161" spans="1:36" s="3" customFormat="1" x14ac:dyDescent="0.2">
      <c r="A161" s="3" t="s">
        <v>167</v>
      </c>
      <c r="B161" s="1" t="s">
        <v>625</v>
      </c>
      <c r="C161" s="1">
        <v>95.5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3.2250000000000001</v>
      </c>
      <c r="J161" s="1">
        <v>0</v>
      </c>
      <c r="K161" s="1">
        <v>0</v>
      </c>
      <c r="L161" s="1">
        <v>0</v>
      </c>
      <c r="M161" s="1">
        <v>0</v>
      </c>
      <c r="N161" s="1">
        <v>0.27500000000000002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3">
        <v>200</v>
      </c>
      <c r="AI161" s="3">
        <v>290</v>
      </c>
      <c r="AJ161" s="3">
        <v>5.7</v>
      </c>
    </row>
    <row r="162" spans="1:36" s="3" customFormat="1" x14ac:dyDescent="0.2">
      <c r="A162" s="3" t="s">
        <v>168</v>
      </c>
      <c r="B162" s="1" t="s">
        <v>626</v>
      </c>
      <c r="C162" s="1">
        <v>90.73</v>
      </c>
      <c r="D162" s="1">
        <v>0</v>
      </c>
      <c r="E162" s="1">
        <v>0</v>
      </c>
      <c r="F162" s="1">
        <v>0</v>
      </c>
      <c r="G162" s="1">
        <v>0.5</v>
      </c>
      <c r="H162" s="1">
        <v>0</v>
      </c>
      <c r="I162" s="1">
        <v>8.5</v>
      </c>
      <c r="J162" s="1">
        <v>0</v>
      </c>
      <c r="K162" s="1">
        <v>0</v>
      </c>
      <c r="L162" s="1">
        <v>0</v>
      </c>
      <c r="M162" s="1">
        <v>0</v>
      </c>
      <c r="N162" s="1">
        <v>0.12</v>
      </c>
      <c r="O162" s="1">
        <v>0</v>
      </c>
      <c r="P162" s="1">
        <v>0</v>
      </c>
      <c r="Q162" s="1">
        <v>0.05</v>
      </c>
      <c r="R162" s="1">
        <v>0.1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3">
        <v>250</v>
      </c>
      <c r="AI162" s="3">
        <v>340</v>
      </c>
      <c r="AJ162" s="3">
        <v>7</v>
      </c>
    </row>
    <row r="163" spans="1:36" s="3" customFormat="1" x14ac:dyDescent="0.2">
      <c r="A163" s="3" t="s">
        <v>168</v>
      </c>
      <c r="B163" s="1" t="s">
        <v>628</v>
      </c>
      <c r="C163" s="1">
        <v>90.73</v>
      </c>
      <c r="D163" s="1">
        <v>0</v>
      </c>
      <c r="E163" s="1">
        <v>0</v>
      </c>
      <c r="F163" s="1">
        <v>0</v>
      </c>
      <c r="G163" s="1">
        <v>0.5</v>
      </c>
      <c r="H163" s="1">
        <v>0</v>
      </c>
      <c r="I163" s="1">
        <v>8.5</v>
      </c>
      <c r="J163" s="1">
        <v>0</v>
      </c>
      <c r="K163" s="1">
        <v>0</v>
      </c>
      <c r="L163" s="1">
        <v>0</v>
      </c>
      <c r="M163" s="1">
        <v>0</v>
      </c>
      <c r="N163" s="1">
        <v>0.12</v>
      </c>
      <c r="O163" s="1">
        <v>0</v>
      </c>
      <c r="P163" s="1">
        <v>0</v>
      </c>
      <c r="Q163" s="1">
        <v>0.05</v>
      </c>
      <c r="R163" s="1">
        <v>0.1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3">
        <v>230</v>
      </c>
      <c r="AI163" s="3">
        <v>330</v>
      </c>
      <c r="AJ163" s="3">
        <v>11</v>
      </c>
    </row>
    <row r="164" spans="1:36" s="3" customFormat="1" x14ac:dyDescent="0.2">
      <c r="A164" s="3" t="s">
        <v>169</v>
      </c>
      <c r="B164" s="1" t="s">
        <v>626</v>
      </c>
      <c r="C164" s="1">
        <v>90.73</v>
      </c>
      <c r="D164" s="1">
        <v>0</v>
      </c>
      <c r="E164" s="1">
        <v>0</v>
      </c>
      <c r="F164" s="1">
        <v>0</v>
      </c>
      <c r="G164" s="1">
        <v>0.5</v>
      </c>
      <c r="H164" s="1">
        <v>0</v>
      </c>
      <c r="I164" s="1">
        <v>8.5</v>
      </c>
      <c r="J164" s="1">
        <v>0</v>
      </c>
      <c r="K164" s="1">
        <v>0</v>
      </c>
      <c r="L164" s="1">
        <v>0</v>
      </c>
      <c r="M164" s="1">
        <v>0</v>
      </c>
      <c r="N164" s="1">
        <v>0.12</v>
      </c>
      <c r="O164" s="1">
        <v>0</v>
      </c>
      <c r="P164" s="1">
        <v>0</v>
      </c>
      <c r="Q164" s="1">
        <v>0.05</v>
      </c>
      <c r="R164" s="1">
        <v>0.1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3">
        <v>275</v>
      </c>
      <c r="AI164" s="3">
        <v>380</v>
      </c>
      <c r="AJ164" s="3">
        <v>7</v>
      </c>
    </row>
    <row r="165" spans="1:36" s="3" customFormat="1" x14ac:dyDescent="0.2">
      <c r="A165" s="3" t="s">
        <v>169</v>
      </c>
      <c r="B165" s="1" t="s">
        <v>628</v>
      </c>
      <c r="C165" s="1">
        <v>90.73</v>
      </c>
      <c r="D165" s="1">
        <v>0</v>
      </c>
      <c r="E165" s="1">
        <v>0</v>
      </c>
      <c r="F165" s="1">
        <v>0</v>
      </c>
      <c r="G165" s="1">
        <v>0.5</v>
      </c>
      <c r="H165" s="1">
        <v>0</v>
      </c>
      <c r="I165" s="1">
        <v>8.5</v>
      </c>
      <c r="J165" s="1">
        <v>0</v>
      </c>
      <c r="K165" s="1">
        <v>0</v>
      </c>
      <c r="L165" s="1">
        <v>0</v>
      </c>
      <c r="M165" s="1">
        <v>0</v>
      </c>
      <c r="N165" s="1">
        <v>0.12</v>
      </c>
      <c r="O165" s="1">
        <v>0</v>
      </c>
      <c r="P165" s="1">
        <v>0</v>
      </c>
      <c r="Q165" s="1">
        <v>0.05</v>
      </c>
      <c r="R165" s="1">
        <v>0.1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3">
        <v>250</v>
      </c>
      <c r="AI165" s="3">
        <v>345</v>
      </c>
      <c r="AJ165" s="3">
        <v>11</v>
      </c>
    </row>
    <row r="166" spans="1:36" s="3" customFormat="1" x14ac:dyDescent="0.2">
      <c r="A166" s="3" t="s">
        <v>170</v>
      </c>
      <c r="B166" s="1" t="s">
        <v>628</v>
      </c>
      <c r="C166" s="1">
        <v>90.73</v>
      </c>
      <c r="D166" s="1">
        <v>0</v>
      </c>
      <c r="E166" s="1">
        <v>0</v>
      </c>
      <c r="F166" s="1">
        <v>0</v>
      </c>
      <c r="G166" s="1">
        <v>0.5</v>
      </c>
      <c r="H166" s="1">
        <v>0</v>
      </c>
      <c r="I166" s="1">
        <v>8.5</v>
      </c>
      <c r="J166" s="1">
        <v>0</v>
      </c>
      <c r="K166" s="1">
        <v>0</v>
      </c>
      <c r="L166" s="1">
        <v>0</v>
      </c>
      <c r="M166" s="1">
        <v>0</v>
      </c>
      <c r="N166" s="1">
        <v>0.12</v>
      </c>
      <c r="O166" s="1">
        <v>0</v>
      </c>
      <c r="P166" s="1">
        <v>0</v>
      </c>
      <c r="Q166" s="1">
        <v>0.05</v>
      </c>
      <c r="R166" s="1">
        <v>0.1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3">
        <v>250</v>
      </c>
      <c r="AI166" s="3">
        <v>340</v>
      </c>
      <c r="AJ166" s="3">
        <v>5</v>
      </c>
    </row>
    <row r="167" spans="1:36" s="3" customFormat="1" x14ac:dyDescent="0.2">
      <c r="A167" s="3" t="s">
        <v>171</v>
      </c>
      <c r="B167" s="1" t="s">
        <v>627</v>
      </c>
      <c r="C167" s="1">
        <v>84.75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1.25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14.000000000000002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3">
        <v>124</v>
      </c>
      <c r="AI167" s="3">
        <v>145</v>
      </c>
      <c r="AJ167" s="3">
        <v>23</v>
      </c>
    </row>
    <row r="168" spans="1:36" s="3" customFormat="1" x14ac:dyDescent="0.2">
      <c r="A168" s="3" t="s">
        <v>172</v>
      </c>
      <c r="B168" s="1" t="s">
        <v>625</v>
      </c>
      <c r="C168" s="1">
        <v>90.9</v>
      </c>
      <c r="D168" s="1">
        <v>2.5499999999999998</v>
      </c>
      <c r="E168" s="1">
        <v>0</v>
      </c>
      <c r="F168" s="1">
        <v>0</v>
      </c>
      <c r="G168" s="1">
        <v>5.75</v>
      </c>
      <c r="H168" s="1">
        <v>0</v>
      </c>
      <c r="I168" s="1">
        <v>0</v>
      </c>
      <c r="J168" s="1">
        <v>0</v>
      </c>
      <c r="K168" s="1">
        <v>0.7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0.1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3">
        <v>190</v>
      </c>
      <c r="AI168" s="3">
        <v>300</v>
      </c>
      <c r="AJ168" s="3">
        <v>10</v>
      </c>
    </row>
    <row r="169" spans="1:36" s="3" customFormat="1" x14ac:dyDescent="0.2">
      <c r="A169" s="3" t="s">
        <v>173</v>
      </c>
      <c r="B169" s="1" t="s">
        <v>626</v>
      </c>
      <c r="C169" s="1">
        <v>97.91</v>
      </c>
      <c r="D169" s="1">
        <v>0</v>
      </c>
      <c r="E169" s="1">
        <v>0</v>
      </c>
      <c r="F169" s="1">
        <v>0</v>
      </c>
      <c r="G169" s="1">
        <v>0.4</v>
      </c>
      <c r="H169" s="1">
        <v>0</v>
      </c>
      <c r="I169" s="1">
        <v>1.25</v>
      </c>
      <c r="J169" s="1">
        <v>0.04</v>
      </c>
      <c r="K169" s="1">
        <v>0</v>
      </c>
      <c r="L169" s="1">
        <v>0</v>
      </c>
      <c r="M169" s="1">
        <v>0</v>
      </c>
      <c r="N169" s="1">
        <v>0.2</v>
      </c>
      <c r="O169" s="1">
        <v>0</v>
      </c>
      <c r="P169" s="1">
        <v>0</v>
      </c>
      <c r="Q169" s="1">
        <v>0.1</v>
      </c>
      <c r="R169" s="1">
        <v>0.1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3">
        <v>155</v>
      </c>
      <c r="AI169" s="3">
        <v>240</v>
      </c>
      <c r="AJ169" s="3">
        <v>10</v>
      </c>
    </row>
    <row r="170" spans="1:36" s="3" customFormat="1" x14ac:dyDescent="0.2">
      <c r="A170" s="3" t="s">
        <v>174</v>
      </c>
      <c r="B170" s="1" t="s">
        <v>626</v>
      </c>
      <c r="C170" s="1">
        <v>93.3</v>
      </c>
      <c r="D170" s="1">
        <v>0</v>
      </c>
      <c r="E170" s="1">
        <v>0</v>
      </c>
      <c r="F170" s="1">
        <v>0</v>
      </c>
      <c r="G170" s="1">
        <v>5.54</v>
      </c>
      <c r="H170" s="1">
        <v>0</v>
      </c>
      <c r="I170" s="1">
        <v>0</v>
      </c>
      <c r="J170" s="1">
        <v>0</v>
      </c>
      <c r="K170" s="1">
        <v>0.42</v>
      </c>
      <c r="L170" s="1">
        <v>0</v>
      </c>
      <c r="M170" s="1">
        <v>0</v>
      </c>
      <c r="N170" s="1">
        <v>0</v>
      </c>
      <c r="O170" s="1">
        <v>0.74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3">
        <v>262</v>
      </c>
      <c r="AI170" s="3">
        <v>325</v>
      </c>
      <c r="AJ170" s="3">
        <v>12.8</v>
      </c>
    </row>
    <row r="171" spans="1:36" s="3" customFormat="1" x14ac:dyDescent="0.2">
      <c r="A171" s="3" t="s">
        <v>175</v>
      </c>
      <c r="B171" s="1" t="s">
        <v>628</v>
      </c>
      <c r="C171" s="1">
        <v>92.89</v>
      </c>
      <c r="D171" s="1">
        <v>0.97</v>
      </c>
      <c r="E171" s="1">
        <v>0.97</v>
      </c>
      <c r="F171" s="1">
        <v>0.97</v>
      </c>
      <c r="G171" s="1">
        <v>0</v>
      </c>
      <c r="H171" s="1">
        <v>0</v>
      </c>
      <c r="I171" s="1">
        <v>0</v>
      </c>
      <c r="J171" s="1">
        <v>0</v>
      </c>
      <c r="K171" s="1">
        <v>0.2</v>
      </c>
      <c r="L171" s="1">
        <v>0</v>
      </c>
      <c r="M171" s="1">
        <v>0</v>
      </c>
      <c r="N171" s="1">
        <v>0</v>
      </c>
      <c r="O171" s="1">
        <v>4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3">
        <v>179</v>
      </c>
      <c r="AI171" s="3">
        <v>296</v>
      </c>
      <c r="AJ171" s="3">
        <v>11</v>
      </c>
    </row>
    <row r="172" spans="1:36" s="3" customFormat="1" x14ac:dyDescent="0.2">
      <c r="A172" s="3" t="s">
        <v>176</v>
      </c>
      <c r="B172" s="1" t="s">
        <v>627</v>
      </c>
      <c r="C172" s="1">
        <v>94.26</v>
      </c>
      <c r="D172" s="1">
        <v>0</v>
      </c>
      <c r="E172" s="1">
        <v>0</v>
      </c>
      <c r="F172" s="1">
        <v>0</v>
      </c>
      <c r="G172" s="1">
        <v>0.12</v>
      </c>
      <c r="H172" s="1">
        <v>0</v>
      </c>
      <c r="I172" s="1">
        <v>4.25</v>
      </c>
      <c r="J172" s="1">
        <v>0</v>
      </c>
      <c r="K172" s="1">
        <v>0</v>
      </c>
      <c r="L172" s="1">
        <v>0</v>
      </c>
      <c r="M172" s="1">
        <v>0</v>
      </c>
      <c r="N172" s="1">
        <v>0.35</v>
      </c>
      <c r="O172" s="1">
        <v>0</v>
      </c>
      <c r="P172" s="1">
        <v>0</v>
      </c>
      <c r="Q172" s="1">
        <v>0.02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3">
        <v>150</v>
      </c>
      <c r="AI172" s="3">
        <v>220</v>
      </c>
      <c r="AJ172" s="3">
        <v>4</v>
      </c>
    </row>
    <row r="173" spans="1:36" s="3" customFormat="1" x14ac:dyDescent="0.2">
      <c r="A173" s="3" t="s">
        <v>177</v>
      </c>
      <c r="B173" s="1" t="s">
        <v>626</v>
      </c>
      <c r="C173" s="1">
        <v>92.25</v>
      </c>
      <c r="D173" s="1">
        <v>0</v>
      </c>
      <c r="E173" s="1">
        <v>0</v>
      </c>
      <c r="F173" s="1">
        <v>0</v>
      </c>
      <c r="G173" s="1">
        <v>0.95</v>
      </c>
      <c r="H173" s="1">
        <v>0</v>
      </c>
      <c r="I173" s="1">
        <v>6.5</v>
      </c>
      <c r="J173" s="1">
        <v>0</v>
      </c>
      <c r="K173" s="1">
        <v>0</v>
      </c>
      <c r="L173" s="1">
        <v>0</v>
      </c>
      <c r="M173" s="1">
        <v>0</v>
      </c>
      <c r="N173" s="1">
        <v>0.15</v>
      </c>
      <c r="O173" s="1">
        <v>0</v>
      </c>
      <c r="P173" s="1">
        <v>0</v>
      </c>
      <c r="Q173" s="1">
        <v>0.05</v>
      </c>
      <c r="R173" s="1">
        <v>0.1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3">
        <v>165</v>
      </c>
      <c r="AI173" s="3">
        <v>280</v>
      </c>
      <c r="AJ173" s="3">
        <v>14</v>
      </c>
    </row>
    <row r="174" spans="1:36" s="3" customFormat="1" x14ac:dyDescent="0.2">
      <c r="A174" s="3" t="s">
        <v>177</v>
      </c>
      <c r="B174" s="1" t="s">
        <v>626</v>
      </c>
      <c r="C174" s="1">
        <v>92.25</v>
      </c>
      <c r="D174" s="1">
        <v>0</v>
      </c>
      <c r="E174" s="1">
        <v>0</v>
      </c>
      <c r="F174" s="1">
        <v>0</v>
      </c>
      <c r="G174" s="1">
        <v>0.95</v>
      </c>
      <c r="H174" s="1">
        <v>0</v>
      </c>
      <c r="I174" s="1">
        <v>6.5</v>
      </c>
      <c r="J174" s="1">
        <v>0</v>
      </c>
      <c r="K174" s="1">
        <v>0</v>
      </c>
      <c r="L174" s="1">
        <v>0</v>
      </c>
      <c r="M174" s="1">
        <v>0</v>
      </c>
      <c r="N174" s="1">
        <v>0.15</v>
      </c>
      <c r="O174" s="1">
        <v>0</v>
      </c>
      <c r="P174" s="1">
        <v>0</v>
      </c>
      <c r="Q174" s="1">
        <v>0.05</v>
      </c>
      <c r="R174" s="1">
        <v>0.1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3">
        <v>230</v>
      </c>
      <c r="AI174" s="3">
        <v>310</v>
      </c>
      <c r="AJ174" s="3">
        <v>16</v>
      </c>
    </row>
    <row r="175" spans="1:36" s="3" customFormat="1" x14ac:dyDescent="0.2">
      <c r="A175" s="3" t="s">
        <v>177</v>
      </c>
      <c r="B175" s="1" t="s">
        <v>628</v>
      </c>
      <c r="C175" s="1">
        <v>92.25</v>
      </c>
      <c r="D175" s="1">
        <v>0</v>
      </c>
      <c r="E175" s="1">
        <v>0</v>
      </c>
      <c r="F175" s="1">
        <v>0</v>
      </c>
      <c r="G175" s="1">
        <v>0.95</v>
      </c>
      <c r="H175" s="1">
        <v>0</v>
      </c>
      <c r="I175" s="1">
        <v>6.5</v>
      </c>
      <c r="J175" s="1">
        <v>0</v>
      </c>
      <c r="K175" s="1">
        <v>0</v>
      </c>
      <c r="L175" s="1">
        <v>0</v>
      </c>
      <c r="M175" s="1">
        <v>0</v>
      </c>
      <c r="N175" s="1">
        <v>0.15</v>
      </c>
      <c r="O175" s="1">
        <v>0</v>
      </c>
      <c r="P175" s="1">
        <v>0</v>
      </c>
      <c r="Q175" s="1">
        <v>0.05</v>
      </c>
      <c r="R175" s="1">
        <v>0.1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3">
        <v>180</v>
      </c>
      <c r="AI175" s="3">
        <v>295</v>
      </c>
      <c r="AJ175" s="3">
        <v>12</v>
      </c>
    </row>
    <row r="176" spans="1:36" s="3" customFormat="1" x14ac:dyDescent="0.2">
      <c r="A176" s="3" t="s">
        <v>178</v>
      </c>
      <c r="B176" s="1" t="s">
        <v>627</v>
      </c>
      <c r="C176" s="1">
        <v>94.22</v>
      </c>
      <c r="D176" s="1">
        <v>0</v>
      </c>
      <c r="E176" s="1">
        <v>0</v>
      </c>
      <c r="F176" s="1">
        <v>0</v>
      </c>
      <c r="G176" s="1">
        <v>0.12</v>
      </c>
      <c r="H176" s="1">
        <v>0</v>
      </c>
      <c r="I176" s="1">
        <v>4.25</v>
      </c>
      <c r="J176" s="1">
        <v>0</v>
      </c>
      <c r="K176" s="1">
        <v>0</v>
      </c>
      <c r="L176" s="1">
        <v>0</v>
      </c>
      <c r="M176" s="1">
        <v>0</v>
      </c>
      <c r="N176" s="1">
        <v>0.35</v>
      </c>
      <c r="O176" s="1">
        <v>0</v>
      </c>
      <c r="P176" s="1">
        <v>0</v>
      </c>
      <c r="Q176" s="1">
        <v>0.06</v>
      </c>
      <c r="R176" s="1">
        <v>1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3">
        <v>150</v>
      </c>
      <c r="AI176" s="3">
        <v>220</v>
      </c>
      <c r="AJ176" s="3">
        <v>4</v>
      </c>
    </row>
    <row r="177" spans="1:36" s="3" customFormat="1" x14ac:dyDescent="0.2">
      <c r="A177" s="3" t="s">
        <v>179</v>
      </c>
      <c r="B177" s="1" t="s">
        <v>625</v>
      </c>
      <c r="C177" s="1">
        <v>84.1</v>
      </c>
      <c r="D177" s="1">
        <v>0</v>
      </c>
      <c r="E177" s="1">
        <v>0</v>
      </c>
      <c r="F177" s="1">
        <v>0</v>
      </c>
      <c r="G177" s="1">
        <v>5</v>
      </c>
      <c r="H177" s="1">
        <v>0</v>
      </c>
      <c r="I177" s="1">
        <v>5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5.9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3">
        <v>130</v>
      </c>
      <c r="AI177" s="3">
        <v>235</v>
      </c>
      <c r="AJ177" s="3">
        <v>7</v>
      </c>
    </row>
    <row r="178" spans="1:36" s="3" customFormat="1" x14ac:dyDescent="0.2">
      <c r="A178" s="3" t="s">
        <v>180</v>
      </c>
      <c r="B178" s="1" t="s">
        <v>626</v>
      </c>
      <c r="C178" s="1">
        <v>84.1</v>
      </c>
      <c r="D178" s="1">
        <v>0</v>
      </c>
      <c r="E178" s="1">
        <v>0</v>
      </c>
      <c r="F178" s="1">
        <v>0</v>
      </c>
      <c r="G178" s="1">
        <v>5</v>
      </c>
      <c r="H178" s="1">
        <v>0</v>
      </c>
      <c r="I178" s="1">
        <v>5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5.9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3">
        <v>460</v>
      </c>
      <c r="AI178" s="3">
        <v>515</v>
      </c>
      <c r="AJ178" s="3">
        <v>5</v>
      </c>
    </row>
    <row r="179" spans="1:36" s="3" customFormat="1" x14ac:dyDescent="0.2">
      <c r="A179" s="3" t="s">
        <v>181</v>
      </c>
      <c r="B179" s="1" t="s">
        <v>625</v>
      </c>
      <c r="C179" s="1">
        <v>85.1</v>
      </c>
      <c r="D179" s="1">
        <v>4.9000000000000004</v>
      </c>
      <c r="E179" s="1">
        <v>0</v>
      </c>
      <c r="F179" s="1">
        <v>0</v>
      </c>
      <c r="G179" s="1">
        <v>5</v>
      </c>
      <c r="H179" s="1">
        <v>0</v>
      </c>
      <c r="I179" s="1">
        <v>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3">
        <v>167</v>
      </c>
      <c r="AI179" s="3">
        <v>271</v>
      </c>
      <c r="AJ179" s="3">
        <v>8</v>
      </c>
    </row>
    <row r="180" spans="1:36" s="3" customFormat="1" x14ac:dyDescent="0.2">
      <c r="A180" s="3" t="s">
        <v>182</v>
      </c>
      <c r="B180" s="1" t="s">
        <v>626</v>
      </c>
      <c r="C180" s="1">
        <v>85.1</v>
      </c>
      <c r="D180" s="1">
        <v>4.9000000000000004</v>
      </c>
      <c r="E180" s="1">
        <v>0</v>
      </c>
      <c r="F180" s="1">
        <v>0</v>
      </c>
      <c r="G180" s="1">
        <v>5</v>
      </c>
      <c r="H180" s="1">
        <v>0</v>
      </c>
      <c r="I180" s="1">
        <v>5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3">
        <v>370</v>
      </c>
      <c r="AI180" s="3">
        <v>425</v>
      </c>
      <c r="AJ180" s="3">
        <v>14</v>
      </c>
    </row>
    <row r="181" spans="1:36" s="3" customFormat="1" x14ac:dyDescent="0.2">
      <c r="A181" s="3" t="s">
        <v>183</v>
      </c>
      <c r="B181" s="1" t="s">
        <v>627</v>
      </c>
      <c r="C181" s="1">
        <v>85.35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0.65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14.000000000000002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3">
        <v>110</v>
      </c>
      <c r="AI181" s="3">
        <v>138</v>
      </c>
      <c r="AJ181" s="3">
        <v>23</v>
      </c>
    </row>
    <row r="182" spans="1:36" s="3" customFormat="1" x14ac:dyDescent="0.2">
      <c r="A182" s="3" t="s">
        <v>184</v>
      </c>
      <c r="B182" s="1" t="s">
        <v>627</v>
      </c>
      <c r="C182" s="1">
        <v>99.3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0.7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3">
        <v>83</v>
      </c>
      <c r="AI182" s="3">
        <v>165</v>
      </c>
      <c r="AJ182" s="3">
        <v>8</v>
      </c>
    </row>
    <row r="183" spans="1:36" s="3" customFormat="1" x14ac:dyDescent="0.2">
      <c r="A183" s="3" t="s">
        <v>184</v>
      </c>
      <c r="B183" s="1" t="s">
        <v>629</v>
      </c>
      <c r="C183" s="1">
        <v>99.3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0.7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3">
        <v>55</v>
      </c>
      <c r="AI183" s="3">
        <v>180</v>
      </c>
      <c r="AJ183" s="3">
        <v>19</v>
      </c>
    </row>
    <row r="184" spans="1:36" s="3" customFormat="1" x14ac:dyDescent="0.2">
      <c r="A184" s="3" t="s">
        <v>185</v>
      </c>
      <c r="B184" s="1" t="s">
        <v>626</v>
      </c>
      <c r="C184" s="1">
        <v>85.4</v>
      </c>
      <c r="D184" s="1">
        <v>0</v>
      </c>
      <c r="E184" s="1">
        <v>0</v>
      </c>
      <c r="F184" s="1">
        <v>4.9000000000000004</v>
      </c>
      <c r="G184" s="1">
        <v>1.1000000000000001</v>
      </c>
      <c r="H184" s="1">
        <v>0</v>
      </c>
      <c r="I184" s="1">
        <v>8.6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3">
        <v>342</v>
      </c>
      <c r="AI184" s="3">
        <v>410</v>
      </c>
      <c r="AJ184" s="3">
        <v>15.4</v>
      </c>
    </row>
    <row r="185" spans="1:36" s="3" customFormat="1" x14ac:dyDescent="0.2">
      <c r="A185" s="3" t="s">
        <v>186</v>
      </c>
      <c r="B185" s="1" t="s">
        <v>626</v>
      </c>
      <c r="C185" s="1">
        <v>90.76</v>
      </c>
      <c r="D185" s="1">
        <v>1.1599999999999999</v>
      </c>
      <c r="E185" s="1">
        <v>1.17</v>
      </c>
      <c r="F185" s="1">
        <v>1.1599999999999999</v>
      </c>
      <c r="G185" s="1">
        <v>0</v>
      </c>
      <c r="H185" s="1">
        <v>0</v>
      </c>
      <c r="I185" s="1">
        <v>0</v>
      </c>
      <c r="J185" s="1">
        <v>0</v>
      </c>
      <c r="K185" s="1">
        <v>0.5</v>
      </c>
      <c r="L185" s="1">
        <v>0</v>
      </c>
      <c r="M185" s="1">
        <v>0</v>
      </c>
      <c r="N185" s="1">
        <v>0</v>
      </c>
      <c r="O185" s="1">
        <v>5.25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3">
        <v>180</v>
      </c>
      <c r="AI185" s="3">
        <v>280</v>
      </c>
      <c r="AJ185" s="3">
        <v>6</v>
      </c>
    </row>
    <row r="186" spans="1:36" s="3" customFormat="1" x14ac:dyDescent="0.2">
      <c r="A186" s="3" t="s">
        <v>187</v>
      </c>
      <c r="B186" s="1" t="s">
        <v>629</v>
      </c>
      <c r="C186" s="1">
        <v>96.98</v>
      </c>
      <c r="D186" s="1">
        <v>0</v>
      </c>
      <c r="E186" s="1">
        <v>0</v>
      </c>
      <c r="F186" s="1">
        <v>0</v>
      </c>
      <c r="G186" s="1">
        <v>0</v>
      </c>
      <c r="H186" s="1">
        <v>2.0499999999999998</v>
      </c>
      <c r="I186" s="1">
        <v>0</v>
      </c>
      <c r="J186" s="1">
        <v>0.97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3">
        <v>59</v>
      </c>
      <c r="AI186" s="3">
        <v>92</v>
      </c>
      <c r="AJ186" s="3">
        <v>2.5</v>
      </c>
    </row>
    <row r="187" spans="1:36" s="3" customFormat="1" x14ac:dyDescent="0.2">
      <c r="A187" s="3" t="s">
        <v>188</v>
      </c>
      <c r="B187" s="1" t="s">
        <v>625</v>
      </c>
      <c r="C187" s="1">
        <v>96.98</v>
      </c>
      <c r="D187" s="1">
        <v>0</v>
      </c>
      <c r="E187" s="1">
        <v>0</v>
      </c>
      <c r="F187" s="1">
        <v>0</v>
      </c>
      <c r="G187" s="1">
        <v>0</v>
      </c>
      <c r="H187" s="1">
        <v>2.0499999999999998</v>
      </c>
      <c r="I187" s="1">
        <v>0</v>
      </c>
      <c r="J187" s="1">
        <v>0.97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3">
        <v>51</v>
      </c>
      <c r="AI187" s="3">
        <v>82</v>
      </c>
      <c r="AJ187" s="3">
        <v>2</v>
      </c>
    </row>
    <row r="188" spans="1:36" s="3" customFormat="1" x14ac:dyDescent="0.2">
      <c r="A188" s="3" t="s">
        <v>189</v>
      </c>
      <c r="B188" s="1" t="s">
        <v>626</v>
      </c>
      <c r="C188" s="1">
        <v>96.98</v>
      </c>
      <c r="D188" s="1">
        <v>0</v>
      </c>
      <c r="E188" s="1">
        <v>0</v>
      </c>
      <c r="F188" s="1">
        <v>0</v>
      </c>
      <c r="G188" s="1">
        <v>0</v>
      </c>
      <c r="H188" s="1">
        <v>2.0499999999999998</v>
      </c>
      <c r="I188" s="1">
        <v>0</v>
      </c>
      <c r="J188" s="1">
        <v>0.97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3">
        <v>269</v>
      </c>
      <c r="AI188" s="3">
        <v>305</v>
      </c>
      <c r="AJ188" s="3">
        <v>6</v>
      </c>
    </row>
    <row r="189" spans="1:36" s="3" customFormat="1" x14ac:dyDescent="0.2">
      <c r="A189" s="3" t="s">
        <v>190</v>
      </c>
      <c r="B189" s="1" t="s">
        <v>626</v>
      </c>
      <c r="C189" s="1">
        <v>96.98</v>
      </c>
      <c r="D189" s="1">
        <v>0</v>
      </c>
      <c r="E189" s="1">
        <v>0</v>
      </c>
      <c r="F189" s="1">
        <v>0</v>
      </c>
      <c r="G189" s="1">
        <v>0</v>
      </c>
      <c r="H189" s="1">
        <v>2.0499999999999998</v>
      </c>
      <c r="I189" s="1">
        <v>0</v>
      </c>
      <c r="J189" s="1">
        <v>0.97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3">
        <v>207</v>
      </c>
      <c r="AI189" s="3">
        <v>230</v>
      </c>
      <c r="AJ189" s="3">
        <v>12</v>
      </c>
    </row>
    <row r="190" spans="1:36" s="3" customFormat="1" x14ac:dyDescent="0.2">
      <c r="A190" s="3" t="s">
        <v>191</v>
      </c>
      <c r="B190" s="1" t="s">
        <v>626</v>
      </c>
      <c r="C190" s="1">
        <v>97.21</v>
      </c>
      <c r="D190" s="1">
        <v>2.25</v>
      </c>
      <c r="E190" s="1">
        <v>0</v>
      </c>
      <c r="F190" s="1">
        <v>0</v>
      </c>
      <c r="G190" s="1">
        <v>0.11</v>
      </c>
      <c r="H190" s="1">
        <v>0</v>
      </c>
      <c r="I190" s="1">
        <v>0</v>
      </c>
      <c r="J190" s="1">
        <v>0</v>
      </c>
      <c r="K190" s="1">
        <v>0.43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3">
        <v>270</v>
      </c>
      <c r="AI190" s="3">
        <v>300</v>
      </c>
      <c r="AJ190" s="3">
        <v>32</v>
      </c>
    </row>
    <row r="191" spans="1:36" s="3" customFormat="1" x14ac:dyDescent="0.2">
      <c r="A191" s="3" t="s">
        <v>192</v>
      </c>
      <c r="B191" s="1" t="s">
        <v>626</v>
      </c>
      <c r="C191" s="1">
        <v>89.72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9</v>
      </c>
      <c r="J191" s="1">
        <v>0</v>
      </c>
      <c r="K191" s="1">
        <v>0</v>
      </c>
      <c r="L191" s="1">
        <v>0</v>
      </c>
      <c r="M191" s="1">
        <v>0</v>
      </c>
      <c r="N191" s="1">
        <v>0.15</v>
      </c>
      <c r="O191" s="1">
        <v>0</v>
      </c>
      <c r="P191" s="1">
        <v>0</v>
      </c>
      <c r="Q191" s="1">
        <v>0.03</v>
      </c>
      <c r="R191" s="1">
        <v>0.1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3">
        <v>204</v>
      </c>
      <c r="AI191" s="3">
        <v>360</v>
      </c>
      <c r="AJ191" s="3">
        <v>9.9</v>
      </c>
    </row>
    <row r="192" spans="1:36" s="3" customFormat="1" x14ac:dyDescent="0.2">
      <c r="A192" s="3" t="s">
        <v>193</v>
      </c>
      <c r="B192" s="1" t="s">
        <v>626</v>
      </c>
      <c r="C192" s="1">
        <v>94.05</v>
      </c>
      <c r="D192" s="1">
        <v>0</v>
      </c>
      <c r="E192" s="1">
        <v>0</v>
      </c>
      <c r="F192" s="1">
        <v>0</v>
      </c>
      <c r="G192" s="1">
        <v>5.5</v>
      </c>
      <c r="H192" s="1">
        <v>0</v>
      </c>
      <c r="I192" s="1">
        <v>0</v>
      </c>
      <c r="J192" s="1">
        <v>0</v>
      </c>
      <c r="K192" s="1">
        <v>0.45000000000000007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3">
        <v>260</v>
      </c>
      <c r="AI192" s="3">
        <v>340</v>
      </c>
      <c r="AJ192" s="3">
        <v>11</v>
      </c>
    </row>
    <row r="193" spans="1:36" s="3" customFormat="1" x14ac:dyDescent="0.2">
      <c r="A193" s="3" t="s">
        <v>194</v>
      </c>
      <c r="B193" s="1" t="s">
        <v>626</v>
      </c>
      <c r="C193" s="1">
        <v>94.05</v>
      </c>
      <c r="D193" s="1">
        <v>0</v>
      </c>
      <c r="E193" s="1">
        <v>0</v>
      </c>
      <c r="F193" s="1">
        <v>0</v>
      </c>
      <c r="G193" s="1">
        <v>5.5</v>
      </c>
      <c r="H193" s="1">
        <v>0</v>
      </c>
      <c r="I193" s="1">
        <v>0</v>
      </c>
      <c r="J193" s="1">
        <v>0</v>
      </c>
      <c r="K193" s="1">
        <v>0.45000000000000007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3">
        <v>305</v>
      </c>
      <c r="AI193" s="3">
        <v>365</v>
      </c>
      <c r="AJ193" s="3">
        <v>11</v>
      </c>
    </row>
    <row r="194" spans="1:36" s="3" customFormat="1" x14ac:dyDescent="0.2">
      <c r="A194" s="3" t="s">
        <v>194</v>
      </c>
      <c r="B194" s="1" t="s">
        <v>628</v>
      </c>
      <c r="C194" s="1">
        <v>94.05</v>
      </c>
      <c r="D194" s="1">
        <v>0</v>
      </c>
      <c r="E194" s="1">
        <v>0</v>
      </c>
      <c r="F194" s="1">
        <v>0</v>
      </c>
      <c r="G194" s="1">
        <v>5.5</v>
      </c>
      <c r="H194" s="1">
        <v>0</v>
      </c>
      <c r="I194" s="1">
        <v>0</v>
      </c>
      <c r="J194" s="1">
        <v>0</v>
      </c>
      <c r="K194" s="1">
        <v>0.45000000000000007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3">
        <v>215</v>
      </c>
      <c r="AI194" s="3">
        <v>305</v>
      </c>
      <c r="AJ194" s="3">
        <v>16</v>
      </c>
    </row>
    <row r="195" spans="1:36" s="3" customFormat="1" x14ac:dyDescent="0.2">
      <c r="A195" s="3" t="s">
        <v>195</v>
      </c>
      <c r="B195" s="1" t="s">
        <v>628</v>
      </c>
      <c r="C195" s="1">
        <v>94.05</v>
      </c>
      <c r="D195" s="1">
        <v>0</v>
      </c>
      <c r="E195" s="1">
        <v>0</v>
      </c>
      <c r="F195" s="1">
        <v>0</v>
      </c>
      <c r="G195" s="1">
        <v>5.5</v>
      </c>
      <c r="H195" s="1">
        <v>0</v>
      </c>
      <c r="I195" s="1">
        <v>0</v>
      </c>
      <c r="J195" s="1">
        <v>0</v>
      </c>
      <c r="K195" s="1">
        <v>0.45000000000000007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3">
        <v>270</v>
      </c>
      <c r="AI195" s="3">
        <v>325</v>
      </c>
      <c r="AJ195" s="3">
        <v>11</v>
      </c>
    </row>
    <row r="196" spans="1:36" s="3" customFormat="1" x14ac:dyDescent="0.2">
      <c r="A196" s="3" t="s">
        <v>196</v>
      </c>
      <c r="B196" s="1" t="s">
        <v>626</v>
      </c>
      <c r="C196" s="1">
        <v>91.3</v>
      </c>
      <c r="D196" s="1">
        <v>0</v>
      </c>
      <c r="E196" s="1">
        <v>0</v>
      </c>
      <c r="F196" s="1">
        <v>0</v>
      </c>
      <c r="G196" s="1">
        <v>6.5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0.75</v>
      </c>
      <c r="O196" s="1">
        <v>0</v>
      </c>
      <c r="P196" s="1">
        <v>0</v>
      </c>
      <c r="Q196" s="1">
        <v>1.25</v>
      </c>
      <c r="R196" s="1">
        <v>0.2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3">
        <v>180</v>
      </c>
      <c r="AI196" s="3">
        <v>280</v>
      </c>
      <c r="AJ196" s="3">
        <v>12</v>
      </c>
    </row>
    <row r="197" spans="1:36" s="3" customFormat="1" x14ac:dyDescent="0.2">
      <c r="A197" s="3" t="s">
        <v>197</v>
      </c>
      <c r="B197" s="1" t="s">
        <v>625</v>
      </c>
      <c r="C197" s="1">
        <v>91.3</v>
      </c>
      <c r="D197" s="1">
        <v>0</v>
      </c>
      <c r="E197" s="1">
        <v>0</v>
      </c>
      <c r="F197" s="1">
        <v>0</v>
      </c>
      <c r="G197" s="1">
        <v>6.5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0.75</v>
      </c>
      <c r="O197" s="1">
        <v>0</v>
      </c>
      <c r="P197" s="1">
        <v>0</v>
      </c>
      <c r="Q197" s="1">
        <v>1.25</v>
      </c>
      <c r="R197" s="1">
        <v>0.2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3">
        <v>240</v>
      </c>
      <c r="AI197" s="3">
        <v>300</v>
      </c>
      <c r="AJ197" s="3">
        <v>8</v>
      </c>
    </row>
    <row r="198" spans="1:36" s="3" customFormat="1" x14ac:dyDescent="0.2">
      <c r="A198" s="3" t="s">
        <v>198</v>
      </c>
      <c r="B198" s="1" t="s">
        <v>626</v>
      </c>
      <c r="C198" s="1">
        <v>91.3</v>
      </c>
      <c r="D198" s="1">
        <v>0</v>
      </c>
      <c r="E198" s="1">
        <v>0</v>
      </c>
      <c r="F198" s="1">
        <v>0</v>
      </c>
      <c r="G198" s="1">
        <v>6.5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0.75</v>
      </c>
      <c r="O198" s="1">
        <v>0</v>
      </c>
      <c r="P198" s="1">
        <v>0</v>
      </c>
      <c r="Q198" s="1">
        <v>1.25</v>
      </c>
      <c r="R198" s="1">
        <v>0.2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3">
        <v>296</v>
      </c>
      <c r="AI198" s="3">
        <v>324</v>
      </c>
      <c r="AJ198" s="3">
        <v>3</v>
      </c>
    </row>
    <row r="199" spans="1:36" s="3" customFormat="1" x14ac:dyDescent="0.2">
      <c r="A199" s="3" t="s">
        <v>198</v>
      </c>
      <c r="B199" s="1" t="s">
        <v>625</v>
      </c>
      <c r="C199" s="1">
        <v>91.3</v>
      </c>
      <c r="D199" s="1">
        <v>0</v>
      </c>
      <c r="E199" s="1">
        <v>0</v>
      </c>
      <c r="F199" s="1">
        <v>0</v>
      </c>
      <c r="G199" s="1">
        <v>6.5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0.75</v>
      </c>
      <c r="O199" s="1">
        <v>0</v>
      </c>
      <c r="P199" s="1">
        <v>0</v>
      </c>
      <c r="Q199" s="1">
        <v>1.25</v>
      </c>
      <c r="R199" s="1">
        <v>0.2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3">
        <v>340</v>
      </c>
      <c r="AI199" s="3">
        <v>360</v>
      </c>
      <c r="AJ199" s="3">
        <v>6</v>
      </c>
    </row>
    <row r="200" spans="1:36" s="3" customFormat="1" x14ac:dyDescent="0.2">
      <c r="A200" s="3" t="s">
        <v>185</v>
      </c>
      <c r="B200" s="1" t="s">
        <v>626</v>
      </c>
      <c r="C200" s="1">
        <v>86.1</v>
      </c>
      <c r="D200" s="1">
        <v>0</v>
      </c>
      <c r="E200" s="1">
        <v>0</v>
      </c>
      <c r="F200" s="1">
        <v>4.7</v>
      </c>
      <c r="G200" s="1">
        <v>1</v>
      </c>
      <c r="H200" s="1">
        <v>0</v>
      </c>
      <c r="I200" s="1">
        <v>8.1999999999999993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3">
        <v>368</v>
      </c>
      <c r="AI200" s="3">
        <v>420</v>
      </c>
      <c r="AJ200" s="3">
        <v>8.8000000000000007</v>
      </c>
    </row>
    <row r="201" spans="1:36" s="3" customFormat="1" x14ac:dyDescent="0.2">
      <c r="A201" s="3" t="s">
        <v>199</v>
      </c>
      <c r="B201" s="1" t="s">
        <v>629</v>
      </c>
      <c r="C201" s="1">
        <v>88.71</v>
      </c>
      <c r="D201" s="1">
        <v>0.48</v>
      </c>
      <c r="E201" s="1">
        <v>1.5</v>
      </c>
      <c r="F201" s="1">
        <v>0.85000000000000009</v>
      </c>
      <c r="G201" s="1">
        <v>0.872</v>
      </c>
      <c r="H201" s="1">
        <v>0</v>
      </c>
      <c r="I201" s="1">
        <v>7.42</v>
      </c>
      <c r="J201" s="1">
        <v>0</v>
      </c>
      <c r="K201" s="1">
        <v>0</v>
      </c>
      <c r="L201" s="1">
        <v>0</v>
      </c>
      <c r="M201" s="1">
        <v>0</v>
      </c>
      <c r="N201" s="1">
        <v>0.16800000000000001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3">
        <v>107</v>
      </c>
      <c r="AI201" s="3">
        <v>167</v>
      </c>
      <c r="AJ201" s="3">
        <v>2.76</v>
      </c>
    </row>
    <row r="202" spans="1:36" s="3" customFormat="1" x14ac:dyDescent="0.2">
      <c r="A202" s="3" t="s">
        <v>200</v>
      </c>
      <c r="B202" s="1" t="s">
        <v>626</v>
      </c>
      <c r="C202" s="1">
        <v>97</v>
      </c>
      <c r="D202" s="1">
        <v>0</v>
      </c>
      <c r="E202" s="1">
        <v>0</v>
      </c>
      <c r="F202" s="1">
        <v>0</v>
      </c>
      <c r="G202" s="1">
        <v>2.5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0.5</v>
      </c>
      <c r="AD202" s="1">
        <v>0</v>
      </c>
      <c r="AE202" s="1">
        <v>0</v>
      </c>
      <c r="AF202" s="1">
        <v>0</v>
      </c>
      <c r="AG202" s="1">
        <v>0</v>
      </c>
      <c r="AH202" s="3">
        <v>315</v>
      </c>
      <c r="AI202" s="3">
        <v>345</v>
      </c>
      <c r="AJ202" s="3">
        <v>13.6</v>
      </c>
    </row>
    <row r="203" spans="1:36" s="3" customFormat="1" x14ac:dyDescent="0.2">
      <c r="A203" s="3" t="s">
        <v>201</v>
      </c>
      <c r="B203" s="1" t="s">
        <v>626</v>
      </c>
      <c r="C203" s="1">
        <v>97</v>
      </c>
      <c r="D203" s="1">
        <v>0</v>
      </c>
      <c r="E203" s="1">
        <v>0</v>
      </c>
      <c r="F203" s="1">
        <v>0</v>
      </c>
      <c r="G203" s="1">
        <v>2.5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0.5</v>
      </c>
      <c r="AE203" s="1">
        <v>0</v>
      </c>
      <c r="AF203" s="1">
        <v>0</v>
      </c>
      <c r="AG203" s="1">
        <v>0</v>
      </c>
      <c r="AH203" s="3">
        <v>305</v>
      </c>
      <c r="AI203" s="3">
        <v>338</v>
      </c>
      <c r="AJ203" s="3">
        <v>19.5</v>
      </c>
    </row>
    <row r="204" spans="1:36" s="3" customFormat="1" x14ac:dyDescent="0.2">
      <c r="A204" s="3" t="s">
        <v>202</v>
      </c>
      <c r="B204" s="1" t="s">
        <v>628</v>
      </c>
      <c r="C204" s="1">
        <v>98</v>
      </c>
      <c r="D204" s="1">
        <v>0</v>
      </c>
      <c r="E204" s="1">
        <v>0</v>
      </c>
      <c r="F204" s="1">
        <v>0</v>
      </c>
      <c r="G204" s="1">
        <v>0</v>
      </c>
      <c r="H204" s="1">
        <v>0.25</v>
      </c>
      <c r="I204" s="1">
        <v>1.5</v>
      </c>
      <c r="J204" s="1">
        <v>0</v>
      </c>
      <c r="K204" s="1">
        <v>0</v>
      </c>
      <c r="L204" s="1">
        <v>0</v>
      </c>
      <c r="M204" s="1">
        <v>0</v>
      </c>
      <c r="N204" s="1">
        <v>0.25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3">
        <v>147.5</v>
      </c>
      <c r="AI204" s="3">
        <v>240</v>
      </c>
      <c r="AJ204" s="3">
        <v>10</v>
      </c>
    </row>
    <row r="205" spans="1:36" s="3" customFormat="1" x14ac:dyDescent="0.2">
      <c r="A205" s="3" t="s">
        <v>203</v>
      </c>
      <c r="B205" s="1" t="s">
        <v>628</v>
      </c>
      <c r="C205" s="1">
        <v>95.75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  <c r="I205" s="1">
        <v>3</v>
      </c>
      <c r="J205" s="1">
        <v>0</v>
      </c>
      <c r="K205" s="1">
        <v>0</v>
      </c>
      <c r="L205" s="1">
        <v>0</v>
      </c>
      <c r="M205" s="1">
        <v>0</v>
      </c>
      <c r="N205" s="1">
        <v>0.25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3">
        <v>120</v>
      </c>
      <c r="AI205" s="3">
        <v>240</v>
      </c>
      <c r="AJ205" s="3">
        <v>11</v>
      </c>
    </row>
    <row r="206" spans="1:36" s="3" customFormat="1" x14ac:dyDescent="0.2">
      <c r="A206" s="3" t="s">
        <v>203</v>
      </c>
      <c r="B206" s="1" t="s">
        <v>625</v>
      </c>
      <c r="C206" s="1">
        <v>95.75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3</v>
      </c>
      <c r="J206" s="1">
        <v>0</v>
      </c>
      <c r="K206" s="1">
        <v>0</v>
      </c>
      <c r="L206" s="1">
        <v>0</v>
      </c>
      <c r="M206" s="1">
        <v>0</v>
      </c>
      <c r="N206" s="1">
        <v>0.25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3">
        <v>160</v>
      </c>
      <c r="AI206" s="3">
        <v>250</v>
      </c>
      <c r="AJ206" s="3">
        <v>6</v>
      </c>
    </row>
    <row r="207" spans="1:36" s="3" customFormat="1" x14ac:dyDescent="0.2">
      <c r="A207" s="3" t="s">
        <v>203</v>
      </c>
      <c r="B207" s="1" t="s">
        <v>626</v>
      </c>
      <c r="C207" s="1">
        <v>95.75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3</v>
      </c>
      <c r="J207" s="1">
        <v>0</v>
      </c>
      <c r="K207" s="1">
        <v>0</v>
      </c>
      <c r="L207" s="1">
        <v>0</v>
      </c>
      <c r="M207" s="1">
        <v>0</v>
      </c>
      <c r="N207" s="1">
        <v>0.25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3">
        <v>130</v>
      </c>
      <c r="AI207" s="3">
        <v>230</v>
      </c>
      <c r="AJ207" s="3">
        <v>4</v>
      </c>
    </row>
    <row r="208" spans="1:36" s="3" customFormat="1" x14ac:dyDescent="0.2">
      <c r="A208" s="3" t="s">
        <v>203</v>
      </c>
      <c r="B208" s="1" t="s">
        <v>626</v>
      </c>
      <c r="C208" s="1">
        <v>95.75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3</v>
      </c>
      <c r="J208" s="1">
        <v>0</v>
      </c>
      <c r="K208" s="1">
        <v>0</v>
      </c>
      <c r="L208" s="1">
        <v>0</v>
      </c>
      <c r="M208" s="1">
        <v>0</v>
      </c>
      <c r="N208" s="1">
        <v>0.25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3">
        <v>105</v>
      </c>
      <c r="AI208" s="3">
        <v>200</v>
      </c>
      <c r="AJ208" s="3">
        <v>4</v>
      </c>
    </row>
    <row r="209" spans="1:36" s="3" customFormat="1" x14ac:dyDescent="0.2">
      <c r="A209" s="3" t="s">
        <v>65</v>
      </c>
      <c r="B209" s="1" t="s">
        <v>628</v>
      </c>
      <c r="C209" s="1">
        <v>97.2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1.8000000000000003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3">
        <v>175</v>
      </c>
      <c r="AI209" s="3">
        <v>215</v>
      </c>
      <c r="AJ209" s="3">
        <v>3</v>
      </c>
    </row>
    <row r="210" spans="1:36" s="3" customFormat="1" x14ac:dyDescent="0.2">
      <c r="A210" s="3" t="s">
        <v>204</v>
      </c>
      <c r="B210" s="1" t="s">
        <v>628</v>
      </c>
      <c r="C210" s="1">
        <v>97</v>
      </c>
      <c r="D210" s="1">
        <v>0</v>
      </c>
      <c r="E210" s="1">
        <v>0</v>
      </c>
      <c r="F210" s="1">
        <v>0</v>
      </c>
      <c r="G210" s="1">
        <v>2</v>
      </c>
      <c r="H210" s="1">
        <v>0</v>
      </c>
      <c r="I210" s="1">
        <v>0</v>
      </c>
      <c r="J210" s="1">
        <v>0.90000000000000013</v>
      </c>
      <c r="K210" s="1">
        <v>0.1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3">
        <v>187.5</v>
      </c>
      <c r="AI210" s="3">
        <v>247.5</v>
      </c>
      <c r="AJ210" s="3">
        <v>4</v>
      </c>
    </row>
    <row r="211" spans="1:36" s="3" customFormat="1" x14ac:dyDescent="0.2">
      <c r="A211" s="3" t="s">
        <v>205</v>
      </c>
      <c r="B211" s="1" t="s">
        <v>628</v>
      </c>
      <c r="C211" s="1">
        <v>89.44</v>
      </c>
      <c r="D211" s="1">
        <v>0</v>
      </c>
      <c r="E211" s="1">
        <v>0</v>
      </c>
      <c r="F211" s="1">
        <v>0.5</v>
      </c>
      <c r="G211" s="1">
        <v>0.5</v>
      </c>
      <c r="H211" s="1">
        <v>0</v>
      </c>
      <c r="I211" s="1">
        <v>8.5</v>
      </c>
      <c r="J211" s="1">
        <v>0</v>
      </c>
      <c r="K211" s="1">
        <v>0</v>
      </c>
      <c r="L211" s="1">
        <v>0</v>
      </c>
      <c r="M211" s="1">
        <v>0</v>
      </c>
      <c r="N211" s="1">
        <v>1.06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3">
        <v>200</v>
      </c>
      <c r="AI211" s="3">
        <v>290</v>
      </c>
      <c r="AJ211" s="3">
        <v>6</v>
      </c>
    </row>
    <row r="212" spans="1:36" s="3" customFormat="1" x14ac:dyDescent="0.2">
      <c r="A212" s="3" t="s">
        <v>206</v>
      </c>
      <c r="B212" s="1" t="s">
        <v>626</v>
      </c>
      <c r="C212" s="1">
        <v>95.1</v>
      </c>
      <c r="D212" s="1">
        <v>0</v>
      </c>
      <c r="E212" s="1">
        <v>0</v>
      </c>
      <c r="F212" s="1">
        <v>0</v>
      </c>
      <c r="G212" s="1">
        <v>4</v>
      </c>
      <c r="H212" s="1">
        <v>0</v>
      </c>
      <c r="I212" s="1">
        <v>0</v>
      </c>
      <c r="J212" s="1">
        <v>0.45000000000000007</v>
      </c>
      <c r="K212" s="1">
        <v>0.45000000000000007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3">
        <v>255</v>
      </c>
      <c r="AI212" s="3">
        <v>276</v>
      </c>
      <c r="AJ212" s="3">
        <v>4</v>
      </c>
    </row>
    <row r="213" spans="1:36" s="3" customFormat="1" x14ac:dyDescent="0.2">
      <c r="A213" s="3" t="s">
        <v>207</v>
      </c>
      <c r="B213" s="1" t="s">
        <v>627</v>
      </c>
      <c r="C213" s="1">
        <v>88.6</v>
      </c>
      <c r="D213" s="1">
        <v>0</v>
      </c>
      <c r="E213" s="1">
        <v>0</v>
      </c>
      <c r="F213" s="1">
        <v>0</v>
      </c>
      <c r="G213" s="1">
        <v>2</v>
      </c>
      <c r="H213" s="1">
        <v>0</v>
      </c>
      <c r="I213" s="1">
        <v>9</v>
      </c>
      <c r="J213" s="1">
        <v>0</v>
      </c>
      <c r="K213" s="1">
        <v>0</v>
      </c>
      <c r="L213" s="1">
        <v>0</v>
      </c>
      <c r="M213" s="1">
        <v>0</v>
      </c>
      <c r="N213" s="1">
        <v>0.1</v>
      </c>
      <c r="O213" s="1">
        <v>0</v>
      </c>
      <c r="P213" s="1">
        <v>0</v>
      </c>
      <c r="Q213" s="1">
        <v>0</v>
      </c>
      <c r="R213" s="1">
        <v>0.3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3">
        <v>97</v>
      </c>
      <c r="AI213" s="3">
        <v>170</v>
      </c>
      <c r="AJ213" s="3">
        <v>2</v>
      </c>
    </row>
    <row r="214" spans="1:36" s="3" customFormat="1" x14ac:dyDescent="0.2">
      <c r="A214" s="3" t="s">
        <v>208</v>
      </c>
      <c r="B214" s="1" t="s">
        <v>625</v>
      </c>
      <c r="C214" s="1">
        <v>94.6</v>
      </c>
      <c r="D214" s="1">
        <v>2.1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0.7</v>
      </c>
      <c r="L214" s="1">
        <v>2.5</v>
      </c>
      <c r="M214" s="1">
        <v>0</v>
      </c>
      <c r="N214" s="1">
        <v>0</v>
      </c>
      <c r="O214" s="1">
        <v>0</v>
      </c>
      <c r="P214" s="1">
        <v>0</v>
      </c>
      <c r="Q214" s="1">
        <v>0.1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3">
        <v>195</v>
      </c>
      <c r="AI214" s="3">
        <v>260</v>
      </c>
      <c r="AJ214" s="3">
        <v>3</v>
      </c>
    </row>
    <row r="215" spans="1:36" s="3" customFormat="1" x14ac:dyDescent="0.2">
      <c r="A215" s="3" t="s">
        <v>209</v>
      </c>
      <c r="B215" s="1" t="s">
        <v>625</v>
      </c>
      <c r="C215" s="1">
        <v>88.6</v>
      </c>
      <c r="D215" s="1">
        <v>0</v>
      </c>
      <c r="E215" s="1">
        <v>0</v>
      </c>
      <c r="F215" s="1">
        <v>0</v>
      </c>
      <c r="G215" s="1">
        <v>2</v>
      </c>
      <c r="H215" s="1">
        <v>0</v>
      </c>
      <c r="I215" s="1">
        <v>9</v>
      </c>
      <c r="J215" s="1">
        <v>0</v>
      </c>
      <c r="K215" s="1">
        <v>0</v>
      </c>
      <c r="L215" s="1">
        <v>0</v>
      </c>
      <c r="M215" s="1">
        <v>0</v>
      </c>
      <c r="N215" s="1">
        <v>0.1</v>
      </c>
      <c r="O215" s="1">
        <v>0</v>
      </c>
      <c r="P215" s="1">
        <v>0</v>
      </c>
      <c r="Q215" s="1">
        <v>0</v>
      </c>
      <c r="R215" s="1">
        <v>0.3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3">
        <v>97</v>
      </c>
      <c r="AI215" s="3">
        <v>275</v>
      </c>
      <c r="AJ215" s="3">
        <v>10</v>
      </c>
    </row>
    <row r="216" spans="1:36" s="3" customFormat="1" x14ac:dyDescent="0.2">
      <c r="A216" s="3" t="s">
        <v>210</v>
      </c>
      <c r="B216" s="1" t="s">
        <v>625</v>
      </c>
      <c r="C216" s="1">
        <v>88.6</v>
      </c>
      <c r="D216" s="1">
        <v>0</v>
      </c>
      <c r="E216" s="1">
        <v>0</v>
      </c>
      <c r="F216" s="1">
        <v>0</v>
      </c>
      <c r="G216" s="1">
        <v>2</v>
      </c>
      <c r="H216" s="1">
        <v>0</v>
      </c>
      <c r="I216" s="1">
        <v>9</v>
      </c>
      <c r="J216" s="1">
        <v>0</v>
      </c>
      <c r="K216" s="1">
        <v>0</v>
      </c>
      <c r="L216" s="1">
        <v>0</v>
      </c>
      <c r="M216" s="1">
        <v>0</v>
      </c>
      <c r="N216" s="1">
        <v>0.1</v>
      </c>
      <c r="O216" s="1">
        <v>0</v>
      </c>
      <c r="P216" s="1">
        <v>0</v>
      </c>
      <c r="Q216" s="1">
        <v>0</v>
      </c>
      <c r="R216" s="1">
        <v>0.3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3">
        <v>115</v>
      </c>
      <c r="AI216" s="3">
        <v>170</v>
      </c>
      <c r="AJ216" s="3">
        <v>1</v>
      </c>
    </row>
    <row r="217" spans="1:36" s="3" customFormat="1" x14ac:dyDescent="0.2">
      <c r="A217" s="3" t="s">
        <v>211</v>
      </c>
      <c r="B217" s="1" t="s">
        <v>625</v>
      </c>
      <c r="C217" s="1">
        <v>88.6</v>
      </c>
      <c r="D217" s="1">
        <v>0</v>
      </c>
      <c r="E217" s="1">
        <v>0</v>
      </c>
      <c r="F217" s="1">
        <v>0</v>
      </c>
      <c r="G217" s="1">
        <v>2</v>
      </c>
      <c r="H217" s="1">
        <v>0</v>
      </c>
      <c r="I217" s="1">
        <v>9</v>
      </c>
      <c r="J217" s="1">
        <v>0</v>
      </c>
      <c r="K217" s="1">
        <v>0</v>
      </c>
      <c r="L217" s="1">
        <v>0</v>
      </c>
      <c r="M217" s="1">
        <v>0</v>
      </c>
      <c r="N217" s="1">
        <v>0.1</v>
      </c>
      <c r="O217" s="1">
        <v>0</v>
      </c>
      <c r="P217" s="1">
        <v>0</v>
      </c>
      <c r="Q217" s="1">
        <v>0</v>
      </c>
      <c r="R217" s="1">
        <v>0.3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3">
        <v>170</v>
      </c>
      <c r="AI217" s="3">
        <v>275</v>
      </c>
      <c r="AJ217" s="3">
        <v>3</v>
      </c>
    </row>
    <row r="218" spans="1:36" s="3" customFormat="1" x14ac:dyDescent="0.2">
      <c r="A218" s="3" t="s">
        <v>212</v>
      </c>
      <c r="B218" s="1" t="s">
        <v>625</v>
      </c>
      <c r="C218" s="1">
        <v>88.6</v>
      </c>
      <c r="D218" s="1">
        <v>0</v>
      </c>
      <c r="E218" s="1">
        <v>0</v>
      </c>
      <c r="F218" s="1">
        <v>0</v>
      </c>
      <c r="G218" s="1">
        <v>2</v>
      </c>
      <c r="H218" s="1">
        <v>0</v>
      </c>
      <c r="I218" s="1">
        <v>9</v>
      </c>
      <c r="J218" s="1">
        <v>0</v>
      </c>
      <c r="K218" s="1">
        <v>0</v>
      </c>
      <c r="L218" s="1">
        <v>0</v>
      </c>
      <c r="M218" s="1">
        <v>0</v>
      </c>
      <c r="N218" s="1">
        <v>0.1</v>
      </c>
      <c r="O218" s="1">
        <v>0</v>
      </c>
      <c r="P218" s="1">
        <v>0</v>
      </c>
      <c r="Q218" s="1">
        <v>0</v>
      </c>
      <c r="R218" s="1">
        <v>0.3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3">
        <v>145</v>
      </c>
      <c r="AI218" s="3">
        <v>275</v>
      </c>
      <c r="AJ218" s="3">
        <v>3</v>
      </c>
    </row>
    <row r="219" spans="1:36" s="3" customFormat="1" x14ac:dyDescent="0.2">
      <c r="A219" s="3" t="s">
        <v>213</v>
      </c>
      <c r="B219" s="1" t="s">
        <v>625</v>
      </c>
      <c r="C219" s="1">
        <v>94.6</v>
      </c>
      <c r="D219" s="1">
        <v>0</v>
      </c>
      <c r="E219" s="1">
        <v>0</v>
      </c>
      <c r="F219" s="1">
        <v>0</v>
      </c>
      <c r="G219" s="1">
        <v>4.55</v>
      </c>
      <c r="H219" s="1">
        <v>0</v>
      </c>
      <c r="I219" s="1">
        <v>0</v>
      </c>
      <c r="J219" s="1">
        <v>0</v>
      </c>
      <c r="K219" s="1">
        <v>0.75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0.1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3">
        <v>165</v>
      </c>
      <c r="AI219" s="3">
        <v>205</v>
      </c>
      <c r="AJ219" s="3">
        <v>3.5</v>
      </c>
    </row>
    <row r="220" spans="1:36" s="3" customFormat="1" x14ac:dyDescent="0.2">
      <c r="A220" s="3" t="s">
        <v>214</v>
      </c>
      <c r="B220" s="1" t="s">
        <v>627</v>
      </c>
      <c r="C220" s="1">
        <v>89.2</v>
      </c>
      <c r="D220" s="1">
        <v>0</v>
      </c>
      <c r="E220" s="1">
        <v>0</v>
      </c>
      <c r="F220" s="1">
        <v>0</v>
      </c>
      <c r="G220" s="1">
        <v>0.3</v>
      </c>
      <c r="H220" s="1">
        <v>0</v>
      </c>
      <c r="I220" s="1">
        <v>10</v>
      </c>
      <c r="J220" s="1">
        <v>0</v>
      </c>
      <c r="K220" s="1">
        <v>0</v>
      </c>
      <c r="L220" s="1">
        <v>0</v>
      </c>
      <c r="M220" s="1">
        <v>0</v>
      </c>
      <c r="N220" s="1">
        <v>0.1</v>
      </c>
      <c r="O220" s="1">
        <v>0</v>
      </c>
      <c r="P220" s="1">
        <v>0</v>
      </c>
      <c r="Q220" s="1">
        <v>0.1</v>
      </c>
      <c r="R220" s="1">
        <v>0.3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3">
        <v>83</v>
      </c>
      <c r="AI220" s="3">
        <v>150</v>
      </c>
      <c r="AJ220" s="3">
        <v>2</v>
      </c>
    </row>
    <row r="221" spans="1:36" s="3" customFormat="1" x14ac:dyDescent="0.2">
      <c r="A221" s="3" t="s">
        <v>215</v>
      </c>
      <c r="B221" s="1" t="s">
        <v>625</v>
      </c>
      <c r="C221" s="1">
        <v>89.2</v>
      </c>
      <c r="D221" s="1">
        <v>0</v>
      </c>
      <c r="E221" s="1">
        <v>0</v>
      </c>
      <c r="F221" s="1">
        <v>0</v>
      </c>
      <c r="G221" s="1">
        <v>0.3</v>
      </c>
      <c r="H221" s="1">
        <v>0</v>
      </c>
      <c r="I221" s="1">
        <v>10</v>
      </c>
      <c r="J221" s="1">
        <v>0</v>
      </c>
      <c r="K221" s="1">
        <v>0</v>
      </c>
      <c r="L221" s="1">
        <v>0</v>
      </c>
      <c r="M221" s="1">
        <v>0</v>
      </c>
      <c r="N221" s="1">
        <v>0.1</v>
      </c>
      <c r="O221" s="1">
        <v>0</v>
      </c>
      <c r="P221" s="1">
        <v>0</v>
      </c>
      <c r="Q221" s="1">
        <v>0.1</v>
      </c>
      <c r="R221" s="1">
        <v>0.3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3">
        <v>90</v>
      </c>
      <c r="AI221" s="3">
        <v>275</v>
      </c>
      <c r="AJ221" s="3">
        <v>10</v>
      </c>
    </row>
    <row r="222" spans="1:36" s="3" customFormat="1" x14ac:dyDescent="0.2">
      <c r="A222" s="3" t="s">
        <v>216</v>
      </c>
      <c r="B222" s="1" t="s">
        <v>625</v>
      </c>
      <c r="C222" s="1">
        <v>89.2</v>
      </c>
      <c r="D222" s="1">
        <v>0</v>
      </c>
      <c r="E222" s="1">
        <v>0</v>
      </c>
      <c r="F222" s="1">
        <v>0</v>
      </c>
      <c r="G222" s="1">
        <v>0.3</v>
      </c>
      <c r="H222" s="1">
        <v>0</v>
      </c>
      <c r="I222" s="1">
        <v>10</v>
      </c>
      <c r="J222" s="1">
        <v>0</v>
      </c>
      <c r="K222" s="1">
        <v>0</v>
      </c>
      <c r="L222" s="1">
        <v>0</v>
      </c>
      <c r="M222" s="1">
        <v>0</v>
      </c>
      <c r="N222" s="1">
        <v>0.1</v>
      </c>
      <c r="O222" s="1">
        <v>0</v>
      </c>
      <c r="P222" s="1">
        <v>0</v>
      </c>
      <c r="Q222" s="1">
        <v>0.1</v>
      </c>
      <c r="R222" s="1">
        <v>0.3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3">
        <v>110</v>
      </c>
      <c r="AI222" s="3">
        <v>150</v>
      </c>
      <c r="AJ222" s="3">
        <v>2</v>
      </c>
    </row>
    <row r="223" spans="1:36" s="3" customFormat="1" x14ac:dyDescent="0.2">
      <c r="A223" s="3" t="s">
        <v>217</v>
      </c>
      <c r="B223" s="1" t="s">
        <v>625</v>
      </c>
      <c r="C223" s="1">
        <v>89.2</v>
      </c>
      <c r="D223" s="1">
        <v>0</v>
      </c>
      <c r="E223" s="1">
        <v>0</v>
      </c>
      <c r="F223" s="1">
        <v>0</v>
      </c>
      <c r="G223" s="1">
        <v>0.3</v>
      </c>
      <c r="H223" s="1">
        <v>0</v>
      </c>
      <c r="I223" s="1">
        <v>10</v>
      </c>
      <c r="J223" s="1">
        <v>0</v>
      </c>
      <c r="K223" s="1">
        <v>0</v>
      </c>
      <c r="L223" s="1">
        <v>0</v>
      </c>
      <c r="M223" s="1">
        <v>0</v>
      </c>
      <c r="N223" s="1">
        <v>0.1</v>
      </c>
      <c r="O223" s="1">
        <v>0</v>
      </c>
      <c r="P223" s="1">
        <v>0</v>
      </c>
      <c r="Q223" s="1">
        <v>0.1</v>
      </c>
      <c r="R223" s="1">
        <v>0.3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3">
        <v>110</v>
      </c>
      <c r="AI223" s="3">
        <v>275</v>
      </c>
      <c r="AJ223" s="3">
        <v>4</v>
      </c>
    </row>
    <row r="224" spans="1:36" s="3" customFormat="1" x14ac:dyDescent="0.2">
      <c r="A224" s="3" t="s">
        <v>218</v>
      </c>
      <c r="B224" s="1" t="s">
        <v>629</v>
      </c>
      <c r="C224" s="1">
        <v>89.2</v>
      </c>
      <c r="D224" s="1">
        <v>0</v>
      </c>
      <c r="E224" s="1">
        <v>0</v>
      </c>
      <c r="F224" s="1">
        <v>0</v>
      </c>
      <c r="G224" s="1">
        <v>0.3</v>
      </c>
      <c r="H224" s="1">
        <v>0</v>
      </c>
      <c r="I224" s="1">
        <v>10</v>
      </c>
      <c r="J224" s="1">
        <v>0</v>
      </c>
      <c r="K224" s="1">
        <v>0</v>
      </c>
      <c r="L224" s="1">
        <v>0</v>
      </c>
      <c r="M224" s="1">
        <v>0</v>
      </c>
      <c r="N224" s="1">
        <v>0.1</v>
      </c>
      <c r="O224" s="1">
        <v>0</v>
      </c>
      <c r="P224" s="1">
        <v>0</v>
      </c>
      <c r="Q224" s="1">
        <v>0.1</v>
      </c>
      <c r="R224" s="1">
        <v>0.3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3">
        <v>150</v>
      </c>
      <c r="AI224" s="3">
        <v>275</v>
      </c>
      <c r="AJ224" s="3">
        <v>1</v>
      </c>
    </row>
    <row r="225" spans="1:36" s="3" customFormat="1" x14ac:dyDescent="0.2">
      <c r="A225" s="3" t="s">
        <v>219</v>
      </c>
      <c r="B225" s="1" t="s">
        <v>625</v>
      </c>
      <c r="C225" s="1">
        <v>89.2</v>
      </c>
      <c r="D225" s="1">
        <v>0</v>
      </c>
      <c r="E225" s="1">
        <v>0</v>
      </c>
      <c r="F225" s="1">
        <v>0</v>
      </c>
      <c r="G225" s="1">
        <v>0.3</v>
      </c>
      <c r="H225" s="1">
        <v>0</v>
      </c>
      <c r="I225" s="1">
        <v>10</v>
      </c>
      <c r="J225" s="1">
        <v>0</v>
      </c>
      <c r="K225" s="1">
        <v>0</v>
      </c>
      <c r="L225" s="1">
        <v>0</v>
      </c>
      <c r="M225" s="1">
        <v>0</v>
      </c>
      <c r="N225" s="1">
        <v>0.1</v>
      </c>
      <c r="O225" s="1">
        <v>0</v>
      </c>
      <c r="P225" s="1">
        <v>0</v>
      </c>
      <c r="Q225" s="1">
        <v>0.1</v>
      </c>
      <c r="R225" s="1">
        <v>0.3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3">
        <v>125</v>
      </c>
      <c r="AI225" s="3">
        <v>260</v>
      </c>
      <c r="AJ225" s="3">
        <v>1</v>
      </c>
    </row>
    <row r="226" spans="1:36" s="3" customFormat="1" x14ac:dyDescent="0.2">
      <c r="A226" s="3" t="s">
        <v>220</v>
      </c>
      <c r="B226" s="1" t="s">
        <v>625</v>
      </c>
      <c r="C226" s="1">
        <v>91.22</v>
      </c>
      <c r="D226" s="1">
        <v>0</v>
      </c>
      <c r="E226" s="1">
        <v>0</v>
      </c>
      <c r="F226" s="1">
        <v>0</v>
      </c>
      <c r="G226" s="1">
        <v>0.7</v>
      </c>
      <c r="H226" s="1">
        <v>0</v>
      </c>
      <c r="I226" s="1">
        <v>7.55</v>
      </c>
      <c r="J226" s="1">
        <v>0</v>
      </c>
      <c r="K226" s="1">
        <v>0</v>
      </c>
      <c r="L226" s="1">
        <v>0</v>
      </c>
      <c r="M226" s="1">
        <v>0</v>
      </c>
      <c r="N226" s="1">
        <v>0.13</v>
      </c>
      <c r="O226" s="1">
        <v>0</v>
      </c>
      <c r="P226" s="1">
        <v>0</v>
      </c>
      <c r="Q226" s="1">
        <v>0.1</v>
      </c>
      <c r="R226" s="1">
        <v>0.3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3">
        <v>83</v>
      </c>
      <c r="AI226" s="3">
        <v>275</v>
      </c>
      <c r="AJ226" s="3">
        <v>15</v>
      </c>
    </row>
    <row r="227" spans="1:36" s="3" customFormat="1" x14ac:dyDescent="0.2">
      <c r="A227" s="3" t="s">
        <v>221</v>
      </c>
      <c r="B227" s="1" t="s">
        <v>625</v>
      </c>
      <c r="C227" s="1">
        <v>92.11</v>
      </c>
      <c r="D227" s="1">
        <v>1.1299999999999999</v>
      </c>
      <c r="E227" s="1">
        <v>1.1299999999999999</v>
      </c>
      <c r="F227" s="1">
        <v>1.1299999999999999</v>
      </c>
      <c r="G227" s="1">
        <v>0</v>
      </c>
      <c r="H227" s="1">
        <v>0</v>
      </c>
      <c r="I227" s="1">
        <v>0</v>
      </c>
      <c r="J227" s="1">
        <v>0</v>
      </c>
      <c r="K227" s="1">
        <v>0.5</v>
      </c>
      <c r="L227" s="1">
        <v>0</v>
      </c>
      <c r="M227" s="1">
        <v>0</v>
      </c>
      <c r="N227" s="1">
        <v>0</v>
      </c>
      <c r="O227" s="1">
        <v>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3">
        <v>170</v>
      </c>
      <c r="AI227" s="3">
        <v>250</v>
      </c>
      <c r="AJ227" s="3">
        <v>5.4</v>
      </c>
    </row>
    <row r="228" spans="1:36" s="3" customFormat="1" x14ac:dyDescent="0.2">
      <c r="A228" s="3" t="s">
        <v>222</v>
      </c>
      <c r="B228" s="1" t="s">
        <v>626</v>
      </c>
      <c r="C228" s="1">
        <v>88.6</v>
      </c>
      <c r="D228" s="1">
        <v>0.6</v>
      </c>
      <c r="E228" s="1">
        <v>0</v>
      </c>
      <c r="F228" s="1">
        <v>0</v>
      </c>
      <c r="G228" s="1">
        <v>0.2</v>
      </c>
      <c r="H228" s="1">
        <v>0</v>
      </c>
      <c r="I228" s="1">
        <v>0</v>
      </c>
      <c r="J228" s="1">
        <v>0</v>
      </c>
      <c r="K228" s="1">
        <v>0.6</v>
      </c>
      <c r="L228" s="1">
        <v>0</v>
      </c>
      <c r="M228" s="1">
        <v>0</v>
      </c>
      <c r="N228" s="1">
        <v>0</v>
      </c>
      <c r="O228" s="1">
        <v>2</v>
      </c>
      <c r="P228" s="1">
        <v>8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3">
        <v>153</v>
      </c>
      <c r="AI228" s="3">
        <v>206</v>
      </c>
      <c r="AJ228" s="3">
        <v>25.4</v>
      </c>
    </row>
    <row r="229" spans="1:36" s="3" customFormat="1" x14ac:dyDescent="0.2">
      <c r="A229" s="3" t="s">
        <v>128</v>
      </c>
      <c r="B229" s="1" t="s">
        <v>625</v>
      </c>
      <c r="C229" s="1">
        <v>95.57</v>
      </c>
      <c r="D229" s="1">
        <v>1.95</v>
      </c>
      <c r="E229" s="1">
        <v>0</v>
      </c>
      <c r="F229" s="1">
        <v>0</v>
      </c>
      <c r="G229" s="1">
        <v>0.35</v>
      </c>
      <c r="H229" s="1">
        <v>0</v>
      </c>
      <c r="I229" s="1">
        <v>0.02</v>
      </c>
      <c r="J229" s="1">
        <v>0</v>
      </c>
      <c r="K229" s="1">
        <v>0.25</v>
      </c>
      <c r="L229" s="1">
        <v>0</v>
      </c>
      <c r="M229" s="1">
        <v>0</v>
      </c>
      <c r="N229" s="1">
        <v>0</v>
      </c>
      <c r="O229" s="1">
        <v>1.8000000000000003</v>
      </c>
      <c r="P229" s="1">
        <v>0</v>
      </c>
      <c r="Q229" s="1">
        <v>0.03</v>
      </c>
      <c r="R229" s="1">
        <v>0.03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3">
        <v>120</v>
      </c>
      <c r="AI229" s="3">
        <v>220</v>
      </c>
      <c r="AJ229" s="3">
        <v>3</v>
      </c>
    </row>
    <row r="230" spans="1:36" s="3" customFormat="1" x14ac:dyDescent="0.2">
      <c r="A230" s="3" t="s">
        <v>223</v>
      </c>
      <c r="B230" s="1" t="s">
        <v>626</v>
      </c>
      <c r="C230" s="1">
        <v>92.91</v>
      </c>
      <c r="D230" s="1">
        <v>0.96</v>
      </c>
      <c r="E230" s="1">
        <v>0.96</v>
      </c>
      <c r="F230" s="1">
        <v>0.97</v>
      </c>
      <c r="G230" s="1">
        <v>0</v>
      </c>
      <c r="H230" s="1">
        <v>0</v>
      </c>
      <c r="I230" s="1">
        <v>0</v>
      </c>
      <c r="J230" s="1">
        <v>0</v>
      </c>
      <c r="K230" s="1">
        <v>0.2</v>
      </c>
      <c r="L230" s="1">
        <v>0</v>
      </c>
      <c r="M230" s="1">
        <v>0</v>
      </c>
      <c r="N230" s="1">
        <v>0</v>
      </c>
      <c r="O230" s="1">
        <v>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3">
        <v>183</v>
      </c>
      <c r="AI230" s="3">
        <v>303</v>
      </c>
      <c r="AJ230" s="3">
        <v>6</v>
      </c>
    </row>
    <row r="231" spans="1:36" s="3" customFormat="1" x14ac:dyDescent="0.2">
      <c r="A231" s="3" t="s">
        <v>224</v>
      </c>
      <c r="B231" s="1" t="s">
        <v>625</v>
      </c>
      <c r="C231" s="1">
        <v>93.1</v>
      </c>
      <c r="D231" s="1">
        <v>0</v>
      </c>
      <c r="E231" s="1">
        <v>0</v>
      </c>
      <c r="F231" s="1">
        <v>0</v>
      </c>
      <c r="G231" s="1">
        <v>6</v>
      </c>
      <c r="H231" s="1">
        <v>0</v>
      </c>
      <c r="I231" s="1">
        <v>0</v>
      </c>
      <c r="J231" s="1">
        <v>0</v>
      </c>
      <c r="K231" s="1">
        <v>0.8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0.1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3">
        <v>185</v>
      </c>
      <c r="AI231" s="3">
        <v>310</v>
      </c>
      <c r="AJ231" s="3">
        <v>10</v>
      </c>
    </row>
    <row r="232" spans="1:36" s="3" customFormat="1" x14ac:dyDescent="0.2">
      <c r="A232" s="3" t="s">
        <v>224</v>
      </c>
      <c r="B232" s="1" t="s">
        <v>628</v>
      </c>
      <c r="C232" s="1">
        <v>93.1</v>
      </c>
      <c r="D232" s="1">
        <v>0</v>
      </c>
      <c r="E232" s="1">
        <v>0</v>
      </c>
      <c r="F232" s="1">
        <v>0</v>
      </c>
      <c r="G232" s="1">
        <v>6</v>
      </c>
      <c r="H232" s="1">
        <v>0</v>
      </c>
      <c r="I232" s="1">
        <v>0</v>
      </c>
      <c r="J232" s="1">
        <v>0</v>
      </c>
      <c r="K232" s="1">
        <v>0.8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0.1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3">
        <v>221</v>
      </c>
      <c r="AI232" s="3">
        <v>276</v>
      </c>
      <c r="AJ232" s="3">
        <v>8.5</v>
      </c>
    </row>
    <row r="233" spans="1:36" s="3" customFormat="1" x14ac:dyDescent="0.2">
      <c r="A233" s="3" t="s">
        <v>225</v>
      </c>
      <c r="B233" s="1" t="s">
        <v>625</v>
      </c>
      <c r="C233" s="1">
        <v>93.1</v>
      </c>
      <c r="D233" s="1">
        <v>0</v>
      </c>
      <c r="E233" s="1">
        <v>0</v>
      </c>
      <c r="F233" s="1">
        <v>0</v>
      </c>
      <c r="G233" s="1">
        <v>6</v>
      </c>
      <c r="H233" s="1">
        <v>0</v>
      </c>
      <c r="I233" s="1">
        <v>0</v>
      </c>
      <c r="J233" s="1">
        <v>0</v>
      </c>
      <c r="K233" s="1">
        <v>0.8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0.1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3">
        <v>195</v>
      </c>
      <c r="AI233" s="3">
        <v>310</v>
      </c>
      <c r="AJ233" s="3">
        <v>10</v>
      </c>
    </row>
    <row r="234" spans="1:36" s="3" customFormat="1" x14ac:dyDescent="0.2">
      <c r="A234" s="3" t="s">
        <v>226</v>
      </c>
      <c r="B234" s="1" t="s">
        <v>626</v>
      </c>
      <c r="C234" s="1">
        <v>95.88</v>
      </c>
      <c r="D234" s="1">
        <v>0</v>
      </c>
      <c r="E234" s="1">
        <v>0</v>
      </c>
      <c r="F234" s="1">
        <v>0</v>
      </c>
      <c r="G234" s="1">
        <v>0.83</v>
      </c>
      <c r="H234" s="1">
        <v>0</v>
      </c>
      <c r="I234" s="1">
        <v>2.95</v>
      </c>
      <c r="J234" s="1">
        <v>0</v>
      </c>
      <c r="K234" s="1">
        <v>0</v>
      </c>
      <c r="L234" s="1">
        <v>0</v>
      </c>
      <c r="M234" s="1">
        <v>0</v>
      </c>
      <c r="N234" s="1">
        <v>0.32</v>
      </c>
      <c r="O234" s="1">
        <v>0</v>
      </c>
      <c r="P234" s="1">
        <v>0</v>
      </c>
      <c r="Q234" s="1">
        <v>2E-3</v>
      </c>
      <c r="R234" s="1">
        <v>1.7999999999999999E-2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3">
        <v>194</v>
      </c>
      <c r="AI234" s="3">
        <v>248</v>
      </c>
      <c r="AJ234" s="3">
        <v>14</v>
      </c>
    </row>
    <row r="235" spans="1:36" s="3" customFormat="1" x14ac:dyDescent="0.2">
      <c r="A235" s="3" t="s">
        <v>227</v>
      </c>
      <c r="B235" s="1" t="s">
        <v>626</v>
      </c>
      <c r="C235" s="1">
        <v>95.88</v>
      </c>
      <c r="D235" s="1">
        <v>0</v>
      </c>
      <c r="E235" s="1">
        <v>0</v>
      </c>
      <c r="F235" s="1">
        <v>0</v>
      </c>
      <c r="G235" s="1">
        <v>0.83</v>
      </c>
      <c r="H235" s="1">
        <v>0</v>
      </c>
      <c r="I235" s="1">
        <v>2.95</v>
      </c>
      <c r="J235" s="1">
        <v>0</v>
      </c>
      <c r="K235" s="1">
        <v>0</v>
      </c>
      <c r="L235" s="1">
        <v>0</v>
      </c>
      <c r="M235" s="1">
        <v>0</v>
      </c>
      <c r="N235" s="1">
        <v>0.32</v>
      </c>
      <c r="O235" s="1">
        <v>0</v>
      </c>
      <c r="P235" s="1">
        <v>0</v>
      </c>
      <c r="Q235" s="1">
        <v>2E-3</v>
      </c>
      <c r="R235" s="1">
        <v>1.7999999999999999E-2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3">
        <v>212</v>
      </c>
      <c r="AI235" s="3">
        <v>230</v>
      </c>
      <c r="AJ235" s="3">
        <v>17</v>
      </c>
    </row>
    <row r="236" spans="1:36" s="3" customFormat="1" x14ac:dyDescent="0.2">
      <c r="A236" s="3" t="s">
        <v>228</v>
      </c>
      <c r="B236" s="1" t="s">
        <v>629</v>
      </c>
      <c r="C236" s="1">
        <v>90.07</v>
      </c>
      <c r="D236" s="1">
        <v>0</v>
      </c>
      <c r="E236" s="1">
        <v>0</v>
      </c>
      <c r="F236" s="1">
        <v>0</v>
      </c>
      <c r="G236" s="1">
        <v>0.7</v>
      </c>
      <c r="H236" s="1">
        <v>0</v>
      </c>
      <c r="I236" s="1">
        <v>8.6999999999999993</v>
      </c>
      <c r="J236" s="1">
        <v>0</v>
      </c>
      <c r="K236" s="1">
        <v>0</v>
      </c>
      <c r="L236" s="1">
        <v>0</v>
      </c>
      <c r="M236" s="1">
        <v>0</v>
      </c>
      <c r="N236" s="1">
        <v>0.13</v>
      </c>
      <c r="O236" s="1">
        <v>0</v>
      </c>
      <c r="P236" s="1">
        <v>0</v>
      </c>
      <c r="Q236" s="1">
        <v>0.1</v>
      </c>
      <c r="R236" s="1">
        <v>0.3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3">
        <v>97</v>
      </c>
      <c r="AI236" s="3">
        <v>165</v>
      </c>
      <c r="AJ236" s="3">
        <v>2.5</v>
      </c>
    </row>
    <row r="237" spans="1:36" s="3" customFormat="1" x14ac:dyDescent="0.2">
      <c r="A237" s="3" t="s">
        <v>229</v>
      </c>
      <c r="B237" s="1" t="s">
        <v>625</v>
      </c>
      <c r="C237" s="1">
        <v>90.07</v>
      </c>
      <c r="D237" s="1">
        <v>0</v>
      </c>
      <c r="E237" s="1">
        <v>0</v>
      </c>
      <c r="F237" s="1">
        <v>0</v>
      </c>
      <c r="G237" s="1">
        <v>0.7</v>
      </c>
      <c r="H237" s="1">
        <v>0</v>
      </c>
      <c r="I237" s="1">
        <v>8.6999999999999993</v>
      </c>
      <c r="J237" s="1">
        <v>0</v>
      </c>
      <c r="K237" s="1">
        <v>0</v>
      </c>
      <c r="L237" s="1">
        <v>0</v>
      </c>
      <c r="M237" s="1">
        <v>0</v>
      </c>
      <c r="N237" s="1">
        <v>0.13</v>
      </c>
      <c r="O237" s="1">
        <v>0</v>
      </c>
      <c r="P237" s="1">
        <v>0</v>
      </c>
      <c r="Q237" s="1">
        <v>0.1</v>
      </c>
      <c r="R237" s="1">
        <v>0.3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3">
        <v>90</v>
      </c>
      <c r="AI237" s="3">
        <v>275</v>
      </c>
      <c r="AJ237" s="3">
        <v>15</v>
      </c>
    </row>
    <row r="238" spans="1:36" s="3" customFormat="1" x14ac:dyDescent="0.2">
      <c r="A238" s="3" t="s">
        <v>230</v>
      </c>
      <c r="B238" s="1" t="s">
        <v>625</v>
      </c>
      <c r="C238" s="1">
        <v>90.07</v>
      </c>
      <c r="D238" s="1">
        <v>0</v>
      </c>
      <c r="E238" s="1">
        <v>0</v>
      </c>
      <c r="F238" s="1">
        <v>0</v>
      </c>
      <c r="G238" s="1">
        <v>0.7</v>
      </c>
      <c r="H238" s="1">
        <v>0</v>
      </c>
      <c r="I238" s="1">
        <v>8.6999999999999993</v>
      </c>
      <c r="J238" s="1">
        <v>0</v>
      </c>
      <c r="K238" s="1">
        <v>0</v>
      </c>
      <c r="L238" s="1">
        <v>0</v>
      </c>
      <c r="M238" s="1">
        <v>0</v>
      </c>
      <c r="N238" s="1">
        <v>0.13</v>
      </c>
      <c r="O238" s="1">
        <v>0</v>
      </c>
      <c r="P238" s="1">
        <v>0</v>
      </c>
      <c r="Q238" s="1">
        <v>0.1</v>
      </c>
      <c r="R238" s="1">
        <v>0.3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3">
        <v>150</v>
      </c>
      <c r="AI238" s="3">
        <v>275</v>
      </c>
      <c r="AJ238" s="3">
        <v>6</v>
      </c>
    </row>
    <row r="239" spans="1:36" s="3" customFormat="1" x14ac:dyDescent="0.2">
      <c r="A239" s="3" t="s">
        <v>231</v>
      </c>
      <c r="B239" s="1" t="s">
        <v>627</v>
      </c>
      <c r="C239" s="1">
        <v>90.07</v>
      </c>
      <c r="D239" s="1">
        <v>0</v>
      </c>
      <c r="E239" s="1">
        <v>0</v>
      </c>
      <c r="F239" s="1">
        <v>0</v>
      </c>
      <c r="G239" s="1">
        <v>0.7</v>
      </c>
      <c r="H239" s="1">
        <v>0</v>
      </c>
      <c r="I239" s="1">
        <v>8.6999999999999993</v>
      </c>
      <c r="J239" s="1">
        <v>0</v>
      </c>
      <c r="K239" s="1">
        <v>0</v>
      </c>
      <c r="L239" s="1">
        <v>0</v>
      </c>
      <c r="M239" s="1">
        <v>0</v>
      </c>
      <c r="N239" s="1">
        <v>0.13</v>
      </c>
      <c r="O239" s="1">
        <v>0</v>
      </c>
      <c r="P239" s="1">
        <v>0</v>
      </c>
      <c r="Q239" s="1">
        <v>0.1</v>
      </c>
      <c r="R239" s="1">
        <v>0.3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3">
        <v>97</v>
      </c>
      <c r="AI239" s="3">
        <v>166</v>
      </c>
      <c r="AJ239" s="3">
        <v>2</v>
      </c>
    </row>
    <row r="240" spans="1:36" s="3" customFormat="1" x14ac:dyDescent="0.2">
      <c r="A240" s="3" t="s">
        <v>231</v>
      </c>
      <c r="B240" s="1" t="s">
        <v>625</v>
      </c>
      <c r="C240" s="1">
        <v>90.07</v>
      </c>
      <c r="D240" s="1">
        <v>0</v>
      </c>
      <c r="E240" s="1">
        <v>0</v>
      </c>
      <c r="F240" s="1">
        <v>0</v>
      </c>
      <c r="G240" s="1">
        <v>0.7</v>
      </c>
      <c r="H240" s="1">
        <v>0</v>
      </c>
      <c r="I240" s="1">
        <v>8.6999999999999993</v>
      </c>
      <c r="J240" s="1">
        <v>0</v>
      </c>
      <c r="K240" s="1">
        <v>0</v>
      </c>
      <c r="L240" s="1">
        <v>0</v>
      </c>
      <c r="M240" s="1">
        <v>0</v>
      </c>
      <c r="N240" s="1">
        <v>0.13</v>
      </c>
      <c r="O240" s="1">
        <v>0</v>
      </c>
      <c r="P240" s="1">
        <v>0</v>
      </c>
      <c r="Q240" s="1">
        <v>0.1</v>
      </c>
      <c r="R240" s="1">
        <v>0.3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3">
        <v>97</v>
      </c>
      <c r="AI240" s="3">
        <v>276</v>
      </c>
      <c r="AJ240" s="3">
        <v>11</v>
      </c>
    </row>
    <row r="241" spans="1:36" s="3" customFormat="1" x14ac:dyDescent="0.2">
      <c r="A241" s="3" t="s">
        <v>231</v>
      </c>
      <c r="B241" s="1" t="s">
        <v>625</v>
      </c>
      <c r="C241" s="1">
        <v>90.07</v>
      </c>
      <c r="D241" s="1">
        <v>0</v>
      </c>
      <c r="E241" s="1">
        <v>0</v>
      </c>
      <c r="F241" s="1">
        <v>0</v>
      </c>
      <c r="G241" s="1">
        <v>0.7</v>
      </c>
      <c r="H241" s="1">
        <v>0</v>
      </c>
      <c r="I241" s="1">
        <v>8.6999999999999993</v>
      </c>
      <c r="J241" s="1">
        <v>0</v>
      </c>
      <c r="K241" s="1">
        <v>0</v>
      </c>
      <c r="L241" s="1">
        <v>0</v>
      </c>
      <c r="M241" s="1">
        <v>0</v>
      </c>
      <c r="N241" s="1">
        <v>0.13</v>
      </c>
      <c r="O241" s="1">
        <v>0</v>
      </c>
      <c r="P241" s="1">
        <v>0</v>
      </c>
      <c r="Q241" s="1">
        <v>0.1</v>
      </c>
      <c r="R241" s="1">
        <v>0.3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3">
        <v>131</v>
      </c>
      <c r="AI241" s="3">
        <v>276</v>
      </c>
      <c r="AJ241" s="3">
        <v>5</v>
      </c>
    </row>
    <row r="242" spans="1:36" s="3" customFormat="1" x14ac:dyDescent="0.2">
      <c r="A242" s="3" t="s">
        <v>232</v>
      </c>
      <c r="B242" s="1" t="s">
        <v>626</v>
      </c>
      <c r="C242" s="1">
        <v>86.1</v>
      </c>
      <c r="D242" s="1">
        <v>4.3</v>
      </c>
      <c r="E242" s="1">
        <v>0</v>
      </c>
      <c r="F242" s="1">
        <v>0</v>
      </c>
      <c r="G242" s="1">
        <v>1.1000000000000001</v>
      </c>
      <c r="H242" s="1">
        <v>0</v>
      </c>
      <c r="I242" s="1">
        <v>8.5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3">
        <v>379</v>
      </c>
      <c r="AI242" s="3">
        <v>426</v>
      </c>
      <c r="AJ242" s="3">
        <v>13</v>
      </c>
    </row>
    <row r="243" spans="1:36" s="3" customFormat="1" x14ac:dyDescent="0.2">
      <c r="A243" s="3" t="s">
        <v>128</v>
      </c>
      <c r="B243" s="1" t="s">
        <v>625</v>
      </c>
      <c r="C243" s="1">
        <v>94.8</v>
      </c>
      <c r="D243" s="1">
        <v>2.1</v>
      </c>
      <c r="E243" s="1">
        <v>0</v>
      </c>
      <c r="F243" s="1">
        <v>0</v>
      </c>
      <c r="G243" s="1">
        <v>0.4</v>
      </c>
      <c r="H243" s="1">
        <v>0</v>
      </c>
      <c r="I243" s="1">
        <v>0.02</v>
      </c>
      <c r="J243" s="1">
        <v>0</v>
      </c>
      <c r="K243" s="1">
        <v>0.52</v>
      </c>
      <c r="L243" s="1">
        <v>0</v>
      </c>
      <c r="M243" s="1">
        <v>0</v>
      </c>
      <c r="N243" s="1">
        <v>0</v>
      </c>
      <c r="O243" s="1">
        <v>2.1</v>
      </c>
      <c r="P243" s="1">
        <v>0</v>
      </c>
      <c r="Q243" s="1">
        <v>0.03</v>
      </c>
      <c r="R243" s="1">
        <v>0.03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3">
        <v>195</v>
      </c>
      <c r="AI243" s="3">
        <v>275</v>
      </c>
      <c r="AJ243" s="3">
        <v>3</v>
      </c>
    </row>
    <row r="244" spans="1:36" s="3" customFormat="1" x14ac:dyDescent="0.2">
      <c r="A244" s="3" t="s">
        <v>128</v>
      </c>
      <c r="B244" s="1" t="s">
        <v>625</v>
      </c>
      <c r="C244" s="1">
        <v>94.71</v>
      </c>
      <c r="D244" s="1">
        <v>2.2999999999999998</v>
      </c>
      <c r="E244" s="1">
        <v>0</v>
      </c>
      <c r="F244" s="1">
        <v>0</v>
      </c>
      <c r="G244" s="1">
        <v>0.40999999999999992</v>
      </c>
      <c r="H244" s="1">
        <v>0</v>
      </c>
      <c r="I244" s="1">
        <v>0.02</v>
      </c>
      <c r="J244" s="1">
        <v>0</v>
      </c>
      <c r="K244" s="1">
        <v>0.5</v>
      </c>
      <c r="L244" s="1">
        <v>0</v>
      </c>
      <c r="M244" s="1">
        <v>0</v>
      </c>
      <c r="N244" s="1">
        <v>0</v>
      </c>
      <c r="O244" s="1">
        <v>2</v>
      </c>
      <c r="P244" s="1">
        <v>0</v>
      </c>
      <c r="Q244" s="1">
        <v>0.03</v>
      </c>
      <c r="R244" s="1">
        <v>0.03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3">
        <v>175</v>
      </c>
      <c r="AI244" s="3">
        <v>255</v>
      </c>
      <c r="AJ244" s="3">
        <v>3</v>
      </c>
    </row>
    <row r="245" spans="1:36" s="3" customFormat="1" x14ac:dyDescent="0.2">
      <c r="A245" s="3" t="s">
        <v>233</v>
      </c>
      <c r="B245" s="1" t="s">
        <v>625</v>
      </c>
      <c r="C245" s="1">
        <v>93</v>
      </c>
      <c r="D245" s="1">
        <v>3.25</v>
      </c>
      <c r="E245" s="1">
        <v>0.1</v>
      </c>
      <c r="F245" s="1">
        <v>0.25</v>
      </c>
      <c r="G245" s="1">
        <v>2.5499999999999998</v>
      </c>
      <c r="H245" s="1">
        <v>0</v>
      </c>
      <c r="I245" s="1">
        <v>0</v>
      </c>
      <c r="J245" s="1">
        <v>0</v>
      </c>
      <c r="K245" s="1">
        <v>0.75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0.1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3">
        <v>125</v>
      </c>
      <c r="AI245" s="3">
        <v>160</v>
      </c>
      <c r="AJ245" s="3">
        <v>2</v>
      </c>
    </row>
    <row r="246" spans="1:36" s="3" customFormat="1" x14ac:dyDescent="0.2">
      <c r="A246" s="3" t="s">
        <v>234</v>
      </c>
      <c r="B246" s="1" t="s">
        <v>627</v>
      </c>
      <c r="C246" s="1">
        <v>93.4</v>
      </c>
      <c r="D246" s="1">
        <v>0.8</v>
      </c>
      <c r="E246" s="1">
        <v>0.8</v>
      </c>
      <c r="F246" s="1">
        <v>0.8</v>
      </c>
      <c r="G246" s="1">
        <v>0</v>
      </c>
      <c r="H246" s="1">
        <v>0</v>
      </c>
      <c r="I246" s="1">
        <v>4</v>
      </c>
      <c r="J246" s="1">
        <v>0</v>
      </c>
      <c r="K246" s="1">
        <v>0</v>
      </c>
      <c r="L246" s="1">
        <v>0</v>
      </c>
      <c r="M246" s="1">
        <v>0</v>
      </c>
      <c r="N246" s="1">
        <v>0.1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0.1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3">
        <v>145</v>
      </c>
      <c r="AI246" s="3">
        <v>234</v>
      </c>
      <c r="AJ246" s="3">
        <v>11</v>
      </c>
    </row>
    <row r="247" spans="1:36" s="3" customFormat="1" x14ac:dyDescent="0.2">
      <c r="A247" s="3" t="s">
        <v>235</v>
      </c>
      <c r="B247" s="1" t="s">
        <v>627</v>
      </c>
      <c r="C247" s="1">
        <v>94.430199999999999</v>
      </c>
      <c r="D247" s="1">
        <v>0</v>
      </c>
      <c r="E247" s="1">
        <v>0</v>
      </c>
      <c r="F247" s="1">
        <v>0</v>
      </c>
      <c r="G247" s="1">
        <v>2E-3</v>
      </c>
      <c r="H247" s="1">
        <v>0</v>
      </c>
      <c r="I247" s="1">
        <v>4.58</v>
      </c>
      <c r="J247" s="1">
        <v>0</v>
      </c>
      <c r="K247" s="1">
        <v>0</v>
      </c>
      <c r="L247" s="1">
        <v>0</v>
      </c>
      <c r="M247" s="1">
        <v>0</v>
      </c>
      <c r="N247" s="1">
        <v>0.23699999999999996</v>
      </c>
      <c r="O247" s="1">
        <v>0</v>
      </c>
      <c r="P247" s="1">
        <v>0</v>
      </c>
      <c r="Q247" s="1">
        <v>7.9999999999999993E-4</v>
      </c>
      <c r="R247" s="1">
        <v>0.75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3">
        <v>120</v>
      </c>
      <c r="AI247" s="3">
        <v>166</v>
      </c>
      <c r="AJ247" s="3">
        <v>2.1</v>
      </c>
    </row>
    <row r="248" spans="1:36" s="3" customFormat="1" x14ac:dyDescent="0.2">
      <c r="A248" s="3" t="s">
        <v>235</v>
      </c>
      <c r="B248" s="1" t="s">
        <v>627</v>
      </c>
      <c r="C248" s="1">
        <f>100-SUM((D248:AG248))</f>
        <v>94.430199999999999</v>
      </c>
      <c r="D248" s="1">
        <v>0</v>
      </c>
      <c r="E248" s="1">
        <v>0</v>
      </c>
      <c r="F248" s="1">
        <v>0</v>
      </c>
      <c r="G248" s="1">
        <v>2E-3</v>
      </c>
      <c r="H248" s="1">
        <v>0</v>
      </c>
      <c r="I248" s="1">
        <v>4.58</v>
      </c>
      <c r="J248" s="1">
        <v>0</v>
      </c>
      <c r="K248" s="1">
        <v>0</v>
      </c>
      <c r="L248" s="1">
        <v>0</v>
      </c>
      <c r="M248" s="1">
        <v>0</v>
      </c>
      <c r="N248" s="1">
        <v>0.23699999999999996</v>
      </c>
      <c r="O248" s="1">
        <v>0</v>
      </c>
      <c r="P248" s="1">
        <v>0</v>
      </c>
      <c r="Q248" s="1">
        <v>7.9999999999999993E-4</v>
      </c>
      <c r="R248" s="1">
        <v>0.75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3">
        <v>115</v>
      </c>
      <c r="AI248" s="3">
        <v>240</v>
      </c>
      <c r="AJ248" s="3">
        <v>17.5</v>
      </c>
    </row>
    <row r="249" spans="1:36" s="3" customFormat="1" x14ac:dyDescent="0.2">
      <c r="A249" s="3" t="s">
        <v>236</v>
      </c>
      <c r="B249" s="1" t="s">
        <v>625</v>
      </c>
      <c r="C249" s="1">
        <f t="shared" ref="C249:C278" si="3">100-SUM((D249:AG249))</f>
        <v>91.891124500000004</v>
      </c>
      <c r="D249" s="1">
        <v>1.1299999999999999</v>
      </c>
      <c r="E249" s="1">
        <v>1.1299999999999999</v>
      </c>
      <c r="F249" s="1">
        <v>1.1299999999999999</v>
      </c>
      <c r="G249" s="1">
        <v>0</v>
      </c>
      <c r="H249" s="1">
        <v>0</v>
      </c>
      <c r="I249" s="1">
        <v>0</v>
      </c>
      <c r="J249" s="1">
        <v>0</v>
      </c>
      <c r="K249" s="1">
        <v>0.70281123999999995</v>
      </c>
      <c r="L249" s="1">
        <v>0</v>
      </c>
      <c r="M249" s="1">
        <v>0</v>
      </c>
      <c r="N249" s="1">
        <v>0</v>
      </c>
      <c r="O249" s="1">
        <v>4.0160642600000003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3">
        <v>160</v>
      </c>
      <c r="AI249" s="3">
        <v>270</v>
      </c>
      <c r="AJ249" s="3">
        <v>5.2</v>
      </c>
    </row>
    <row r="250" spans="1:36" s="3" customFormat="1" x14ac:dyDescent="0.2">
      <c r="A250" s="3" t="s">
        <v>237</v>
      </c>
      <c r="B250" s="1" t="s">
        <v>629</v>
      </c>
      <c r="C250" s="1">
        <f t="shared" si="3"/>
        <v>89.823999999999998</v>
      </c>
      <c r="D250" s="1">
        <v>0.28799999999999998</v>
      </c>
      <c r="E250" s="1">
        <v>0.94399999999999984</v>
      </c>
      <c r="F250" s="1">
        <v>0.505</v>
      </c>
      <c r="G250" s="1">
        <v>0.82299999999999995</v>
      </c>
      <c r="H250" s="1">
        <v>0</v>
      </c>
      <c r="I250" s="1">
        <v>7.28</v>
      </c>
      <c r="J250" s="1">
        <v>0</v>
      </c>
      <c r="K250" s="1">
        <v>0</v>
      </c>
      <c r="L250" s="1">
        <v>0</v>
      </c>
      <c r="M250" s="1">
        <v>0</v>
      </c>
      <c r="N250" s="1">
        <v>0.15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0.186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3">
        <v>105</v>
      </c>
      <c r="AI250" s="3">
        <v>169</v>
      </c>
      <c r="AJ250" s="3">
        <v>3.14</v>
      </c>
    </row>
    <row r="251" spans="1:36" s="3" customFormat="1" x14ac:dyDescent="0.2">
      <c r="A251" s="3" t="s">
        <v>238</v>
      </c>
      <c r="B251" s="1" t="s">
        <v>625</v>
      </c>
      <c r="C251" s="1">
        <f t="shared" si="3"/>
        <v>90.625</v>
      </c>
      <c r="D251" s="1">
        <v>3</v>
      </c>
      <c r="E251" s="1">
        <v>0</v>
      </c>
      <c r="F251" s="1">
        <v>0</v>
      </c>
      <c r="G251" s="1">
        <v>0.2</v>
      </c>
      <c r="H251" s="1">
        <v>0</v>
      </c>
      <c r="I251" s="1">
        <v>0</v>
      </c>
      <c r="J251" s="1">
        <v>0</v>
      </c>
      <c r="K251" s="1">
        <v>0.7</v>
      </c>
      <c r="L251" s="1">
        <v>0</v>
      </c>
      <c r="M251" s="1">
        <v>0</v>
      </c>
      <c r="N251" s="1">
        <v>0.15</v>
      </c>
      <c r="O251" s="1">
        <v>5.125</v>
      </c>
      <c r="P251" s="1">
        <v>0</v>
      </c>
      <c r="Q251" s="1">
        <v>0</v>
      </c>
      <c r="R251" s="1">
        <v>0</v>
      </c>
      <c r="S251" s="1">
        <v>0.2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3">
        <v>225</v>
      </c>
      <c r="AI251" s="3">
        <v>280</v>
      </c>
      <c r="AJ251" s="3">
        <v>4</v>
      </c>
    </row>
    <row r="252" spans="1:36" s="3" customFormat="1" x14ac:dyDescent="0.2">
      <c r="A252" s="3" t="s">
        <v>239</v>
      </c>
      <c r="B252" s="1" t="s">
        <v>627</v>
      </c>
      <c r="C252" s="1">
        <f t="shared" si="3"/>
        <v>90.125</v>
      </c>
      <c r="D252" s="1">
        <v>0</v>
      </c>
      <c r="E252" s="1">
        <v>0</v>
      </c>
      <c r="F252" s="1">
        <v>0</v>
      </c>
      <c r="G252" s="1">
        <v>0.7</v>
      </c>
      <c r="H252" s="1">
        <v>0</v>
      </c>
      <c r="I252" s="1">
        <v>8.6999999999999993</v>
      </c>
      <c r="J252" s="1">
        <v>0</v>
      </c>
      <c r="K252" s="1">
        <v>0</v>
      </c>
      <c r="L252" s="1">
        <v>0</v>
      </c>
      <c r="M252" s="1">
        <v>0</v>
      </c>
      <c r="N252" s="1">
        <v>0.26</v>
      </c>
      <c r="O252" s="1">
        <v>0</v>
      </c>
      <c r="P252" s="1">
        <v>0</v>
      </c>
      <c r="Q252" s="1">
        <v>1.4999999999999999E-2</v>
      </c>
      <c r="R252" s="1">
        <v>0.2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3">
        <v>97</v>
      </c>
      <c r="AI252" s="3">
        <v>165</v>
      </c>
      <c r="AJ252" s="3">
        <v>2.5</v>
      </c>
    </row>
    <row r="253" spans="1:36" s="3" customFormat="1" x14ac:dyDescent="0.2">
      <c r="A253" s="3" t="s">
        <v>240</v>
      </c>
      <c r="B253" s="1" t="s">
        <v>625</v>
      </c>
      <c r="C253" s="1">
        <f t="shared" si="3"/>
        <v>90.125</v>
      </c>
      <c r="D253" s="1">
        <v>0</v>
      </c>
      <c r="E253" s="1">
        <v>0</v>
      </c>
      <c r="F253" s="1">
        <v>0</v>
      </c>
      <c r="G253" s="1">
        <v>0.7</v>
      </c>
      <c r="H253" s="1">
        <v>0</v>
      </c>
      <c r="I253" s="1">
        <v>8.6999999999999993</v>
      </c>
      <c r="J253" s="1">
        <v>0</v>
      </c>
      <c r="K253" s="1">
        <v>0</v>
      </c>
      <c r="L253" s="1">
        <v>0</v>
      </c>
      <c r="M253" s="1">
        <v>0</v>
      </c>
      <c r="N253" s="1">
        <v>0.26</v>
      </c>
      <c r="O253" s="1">
        <v>0</v>
      </c>
      <c r="P253" s="1">
        <v>0</v>
      </c>
      <c r="Q253" s="1">
        <v>1.4999999999999999E-2</v>
      </c>
      <c r="R253" s="1">
        <v>0.2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3">
        <v>90</v>
      </c>
      <c r="AI253" s="3">
        <v>275</v>
      </c>
      <c r="AJ253" s="3">
        <v>15</v>
      </c>
    </row>
    <row r="254" spans="1:36" s="3" customFormat="1" x14ac:dyDescent="0.2">
      <c r="A254" s="3" t="s">
        <v>241</v>
      </c>
      <c r="B254" s="1" t="s">
        <v>625</v>
      </c>
      <c r="C254" s="1">
        <f t="shared" si="3"/>
        <v>90.125</v>
      </c>
      <c r="D254" s="1">
        <v>0</v>
      </c>
      <c r="E254" s="1">
        <v>0</v>
      </c>
      <c r="F254" s="1">
        <v>0</v>
      </c>
      <c r="G254" s="1">
        <v>0.7</v>
      </c>
      <c r="H254" s="1">
        <v>0</v>
      </c>
      <c r="I254" s="1">
        <v>8.6999999999999993</v>
      </c>
      <c r="J254" s="1">
        <v>0</v>
      </c>
      <c r="K254" s="1">
        <v>0</v>
      </c>
      <c r="L254" s="1">
        <v>0</v>
      </c>
      <c r="M254" s="1">
        <v>0</v>
      </c>
      <c r="N254" s="1">
        <v>0.26</v>
      </c>
      <c r="O254" s="1">
        <v>0</v>
      </c>
      <c r="P254" s="1">
        <v>0</v>
      </c>
      <c r="Q254" s="1">
        <v>1.4999999999999999E-2</v>
      </c>
      <c r="R254" s="1">
        <v>0.2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3">
        <v>145</v>
      </c>
      <c r="AI254" s="3">
        <v>275</v>
      </c>
      <c r="AJ254" s="3">
        <v>6</v>
      </c>
    </row>
    <row r="255" spans="1:36" s="3" customFormat="1" x14ac:dyDescent="0.2">
      <c r="A255" s="3" t="s">
        <v>242</v>
      </c>
      <c r="B255" s="1" t="s">
        <v>625</v>
      </c>
      <c r="C255" s="1">
        <f t="shared" si="3"/>
        <v>90.78</v>
      </c>
      <c r="D255" s="1">
        <v>1</v>
      </c>
      <c r="E255" s="1">
        <v>1</v>
      </c>
      <c r="F255" s="1">
        <v>1</v>
      </c>
      <c r="G255" s="1">
        <v>0.2</v>
      </c>
      <c r="H255" s="1">
        <v>0</v>
      </c>
      <c r="I255" s="1">
        <v>0</v>
      </c>
      <c r="J255" s="1">
        <v>0</v>
      </c>
      <c r="K255" s="1">
        <v>0.7</v>
      </c>
      <c r="L255" s="1">
        <v>0</v>
      </c>
      <c r="M255" s="1">
        <v>0</v>
      </c>
      <c r="N255" s="1">
        <v>0.15</v>
      </c>
      <c r="O255" s="1">
        <v>5.13</v>
      </c>
      <c r="P255" s="1">
        <v>0</v>
      </c>
      <c r="Q255" s="1">
        <v>0.03</v>
      </c>
      <c r="R255" s="1">
        <v>0.01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3">
        <v>170</v>
      </c>
      <c r="AI255" s="3">
        <v>170</v>
      </c>
      <c r="AJ255" s="3">
        <v>7.5</v>
      </c>
    </row>
    <row r="256" spans="1:36" s="3" customFormat="1" x14ac:dyDescent="0.2">
      <c r="A256" s="3" t="s">
        <v>243</v>
      </c>
      <c r="B256" s="1" t="s">
        <v>629</v>
      </c>
      <c r="C256" s="1">
        <f t="shared" si="3"/>
        <v>95.474999999999994</v>
      </c>
      <c r="D256" s="1">
        <v>2.25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0.7</v>
      </c>
      <c r="L256" s="1">
        <v>1.5</v>
      </c>
      <c r="M256" s="1">
        <v>0</v>
      </c>
      <c r="N256" s="1">
        <v>0</v>
      </c>
      <c r="O256" s="1">
        <v>0</v>
      </c>
      <c r="P256" s="1">
        <v>0</v>
      </c>
      <c r="Q256" s="1">
        <v>7.4999999999999997E-2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3">
        <v>193</v>
      </c>
      <c r="AI256" s="3">
        <v>234</v>
      </c>
      <c r="AJ256" s="3">
        <v>2</v>
      </c>
    </row>
    <row r="257" spans="1:36" s="3" customFormat="1" x14ac:dyDescent="0.2">
      <c r="A257" s="3" t="s">
        <v>118</v>
      </c>
      <c r="B257" s="1" t="s">
        <v>627</v>
      </c>
      <c r="C257" s="1">
        <f t="shared" si="3"/>
        <v>90.114999999999995</v>
      </c>
      <c r="D257" s="1">
        <v>0</v>
      </c>
      <c r="E257" s="1">
        <v>0</v>
      </c>
      <c r="F257" s="1">
        <v>0</v>
      </c>
      <c r="G257" s="1">
        <v>0.7</v>
      </c>
      <c r="H257" s="1">
        <v>0</v>
      </c>
      <c r="I257" s="1">
        <v>9</v>
      </c>
      <c r="J257" s="1">
        <v>0</v>
      </c>
      <c r="K257" s="1">
        <v>0</v>
      </c>
      <c r="L257" s="1">
        <v>0</v>
      </c>
      <c r="M257" s="1">
        <v>0</v>
      </c>
      <c r="N257" s="1">
        <v>0.15</v>
      </c>
      <c r="O257" s="1">
        <v>0</v>
      </c>
      <c r="P257" s="1">
        <v>0</v>
      </c>
      <c r="Q257" s="1">
        <v>1.4999999999999999E-2</v>
      </c>
      <c r="R257" s="1">
        <v>0.02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3">
        <v>124</v>
      </c>
      <c r="AI257" s="3">
        <v>170</v>
      </c>
      <c r="AJ257" s="3">
        <v>3</v>
      </c>
    </row>
    <row r="258" spans="1:36" s="3" customFormat="1" x14ac:dyDescent="0.2">
      <c r="A258" s="3" t="s">
        <v>118</v>
      </c>
      <c r="B258" s="1" t="s">
        <v>629</v>
      </c>
      <c r="C258" s="1">
        <f t="shared" si="3"/>
        <v>90.114999999999995</v>
      </c>
      <c r="D258" s="1">
        <v>0</v>
      </c>
      <c r="E258" s="1">
        <v>0</v>
      </c>
      <c r="F258" s="1">
        <v>0</v>
      </c>
      <c r="G258" s="1">
        <v>0.7</v>
      </c>
      <c r="H258" s="1">
        <v>0</v>
      </c>
      <c r="I258" s="1">
        <v>9</v>
      </c>
      <c r="J258" s="1">
        <v>0</v>
      </c>
      <c r="K258" s="1">
        <v>0</v>
      </c>
      <c r="L258" s="1">
        <v>0</v>
      </c>
      <c r="M258" s="1">
        <v>0</v>
      </c>
      <c r="N258" s="1">
        <v>0.15</v>
      </c>
      <c r="O258" s="1">
        <v>0</v>
      </c>
      <c r="P258" s="1">
        <v>0</v>
      </c>
      <c r="Q258" s="1">
        <v>1.4999999999999999E-2</v>
      </c>
      <c r="R258" s="1">
        <v>0.02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3">
        <v>120</v>
      </c>
      <c r="AI258" s="3">
        <v>170</v>
      </c>
      <c r="AJ258" s="3">
        <v>2</v>
      </c>
    </row>
    <row r="259" spans="1:36" s="3" customFormat="1" x14ac:dyDescent="0.2">
      <c r="A259" s="3" t="s">
        <v>118</v>
      </c>
      <c r="B259" s="1" t="s">
        <v>625</v>
      </c>
      <c r="C259" s="1">
        <f t="shared" si="3"/>
        <v>90.114999999999995</v>
      </c>
      <c r="D259" s="1">
        <v>0</v>
      </c>
      <c r="E259" s="1">
        <v>0</v>
      </c>
      <c r="F259" s="1">
        <v>0</v>
      </c>
      <c r="G259" s="1">
        <v>0.7</v>
      </c>
      <c r="H259" s="1">
        <v>0</v>
      </c>
      <c r="I259" s="1">
        <v>9</v>
      </c>
      <c r="J259" s="1">
        <v>0</v>
      </c>
      <c r="K259" s="1">
        <v>0</v>
      </c>
      <c r="L259" s="1">
        <v>0</v>
      </c>
      <c r="M259" s="1">
        <v>0</v>
      </c>
      <c r="N259" s="1">
        <v>0.15</v>
      </c>
      <c r="O259" s="1">
        <v>0</v>
      </c>
      <c r="P259" s="1">
        <v>0</v>
      </c>
      <c r="Q259" s="1">
        <v>1.4999999999999999E-2</v>
      </c>
      <c r="R259" s="1">
        <v>0.02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3">
        <v>83</v>
      </c>
      <c r="AI259" s="3">
        <v>92</v>
      </c>
      <c r="AJ259" s="3">
        <v>0.3</v>
      </c>
    </row>
    <row r="260" spans="1:36" s="3" customFormat="1" x14ac:dyDescent="0.2">
      <c r="A260" s="3" t="s">
        <v>118</v>
      </c>
      <c r="B260" s="1" t="s">
        <v>626</v>
      </c>
      <c r="C260" s="1">
        <f t="shared" si="3"/>
        <v>90.114999999999995</v>
      </c>
      <c r="D260" s="1">
        <v>0</v>
      </c>
      <c r="E260" s="1">
        <v>0</v>
      </c>
      <c r="F260" s="1">
        <v>0</v>
      </c>
      <c r="G260" s="1">
        <v>0.7</v>
      </c>
      <c r="H260" s="1">
        <v>0</v>
      </c>
      <c r="I260" s="1">
        <v>9</v>
      </c>
      <c r="J260" s="1">
        <v>0</v>
      </c>
      <c r="K260" s="1">
        <v>0</v>
      </c>
      <c r="L260" s="1">
        <v>0</v>
      </c>
      <c r="M260" s="1">
        <v>0</v>
      </c>
      <c r="N260" s="1">
        <v>0.15</v>
      </c>
      <c r="O260" s="1">
        <v>0</v>
      </c>
      <c r="P260" s="1">
        <v>0</v>
      </c>
      <c r="Q260" s="1">
        <v>1.4999999999999999E-2</v>
      </c>
      <c r="R260" s="1">
        <v>0.02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3">
        <v>226</v>
      </c>
      <c r="AI260" s="3">
        <v>313</v>
      </c>
      <c r="AJ260" s="3">
        <v>15.6</v>
      </c>
    </row>
    <row r="261" spans="1:36" s="3" customFormat="1" x14ac:dyDescent="0.2">
      <c r="A261" s="3" t="s">
        <v>118</v>
      </c>
      <c r="B261" s="1" t="s">
        <v>625</v>
      </c>
      <c r="C261" s="1">
        <f t="shared" si="3"/>
        <v>90.114999999999995</v>
      </c>
      <c r="D261" s="1">
        <v>0</v>
      </c>
      <c r="E261" s="1">
        <v>0</v>
      </c>
      <c r="F261" s="1">
        <v>0</v>
      </c>
      <c r="G261" s="1">
        <v>0.7</v>
      </c>
      <c r="H261" s="1">
        <v>0</v>
      </c>
      <c r="I261" s="1">
        <v>9</v>
      </c>
      <c r="J261" s="1">
        <v>0</v>
      </c>
      <c r="K261" s="1">
        <v>0</v>
      </c>
      <c r="L261" s="1">
        <v>0</v>
      </c>
      <c r="M261" s="1">
        <v>0</v>
      </c>
      <c r="N261" s="1">
        <v>0.15</v>
      </c>
      <c r="O261" s="1">
        <v>0</v>
      </c>
      <c r="P261" s="1">
        <v>0</v>
      </c>
      <c r="Q261" s="1">
        <v>1.4999999999999999E-2</v>
      </c>
      <c r="R261" s="1">
        <v>0.02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3">
        <v>215</v>
      </c>
      <c r="AI261" s="3">
        <v>296</v>
      </c>
      <c r="AJ261" s="3">
        <v>10.199999999999999</v>
      </c>
    </row>
    <row r="262" spans="1:36" s="3" customFormat="1" x14ac:dyDescent="0.2">
      <c r="A262" s="3" t="s">
        <v>244</v>
      </c>
      <c r="B262" s="1" t="s">
        <v>626</v>
      </c>
      <c r="C262" s="1">
        <f t="shared" si="3"/>
        <v>95.504999999999995</v>
      </c>
      <c r="D262" s="1">
        <v>0</v>
      </c>
      <c r="E262" s="1">
        <v>0.26</v>
      </c>
      <c r="F262" s="1">
        <v>0</v>
      </c>
      <c r="G262" s="1">
        <v>0.01</v>
      </c>
      <c r="H262" s="1">
        <v>0</v>
      </c>
      <c r="I262" s="1">
        <v>3.7000000000000006</v>
      </c>
      <c r="J262" s="1">
        <v>0</v>
      </c>
      <c r="K262" s="1">
        <v>0</v>
      </c>
      <c r="L262" s="1">
        <v>0</v>
      </c>
      <c r="M262" s="1">
        <v>0</v>
      </c>
      <c r="N262" s="1">
        <v>0.02</v>
      </c>
      <c r="O262" s="1">
        <v>0</v>
      </c>
      <c r="P262" s="1">
        <v>0</v>
      </c>
      <c r="Q262" s="1">
        <v>5.0000000000000001E-3</v>
      </c>
      <c r="R262" s="1">
        <v>0.5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3">
        <v>110</v>
      </c>
      <c r="AI262" s="3">
        <v>240</v>
      </c>
      <c r="AJ262" s="3">
        <v>17.3</v>
      </c>
    </row>
    <row r="263" spans="1:36" s="3" customFormat="1" x14ac:dyDescent="0.2">
      <c r="A263" s="3" t="s">
        <v>121</v>
      </c>
      <c r="B263" s="1" t="s">
        <v>626</v>
      </c>
      <c r="C263" s="1">
        <f t="shared" si="3"/>
        <v>96.575000000000003</v>
      </c>
      <c r="D263" s="1">
        <v>0</v>
      </c>
      <c r="E263" s="1">
        <v>0</v>
      </c>
      <c r="F263" s="1">
        <v>0</v>
      </c>
      <c r="G263" s="1">
        <v>2.2999999999999998</v>
      </c>
      <c r="H263" s="1">
        <v>0</v>
      </c>
      <c r="I263" s="1">
        <v>0</v>
      </c>
      <c r="J263" s="1">
        <v>0.5</v>
      </c>
      <c r="K263" s="1">
        <v>0.625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3">
        <v>195</v>
      </c>
      <c r="AI263" s="3">
        <v>260</v>
      </c>
      <c r="AJ263" s="3">
        <v>4</v>
      </c>
    </row>
    <row r="264" spans="1:36" s="3" customFormat="1" x14ac:dyDescent="0.2">
      <c r="A264" s="3" t="s">
        <v>245</v>
      </c>
      <c r="B264" s="1" t="s">
        <v>627</v>
      </c>
      <c r="C264" s="1">
        <f t="shared" si="3"/>
        <v>93.355000000000004</v>
      </c>
      <c r="D264" s="1">
        <v>0</v>
      </c>
      <c r="E264" s="1">
        <v>0</v>
      </c>
      <c r="F264" s="1">
        <v>0</v>
      </c>
      <c r="G264" s="1">
        <v>0.22</v>
      </c>
      <c r="H264" s="1">
        <v>0</v>
      </c>
      <c r="I264" s="1">
        <v>6</v>
      </c>
      <c r="J264" s="1">
        <v>0</v>
      </c>
      <c r="K264" s="1">
        <v>0</v>
      </c>
      <c r="L264" s="1">
        <v>0</v>
      </c>
      <c r="M264" s="1">
        <v>0</v>
      </c>
      <c r="N264" s="1">
        <v>0.42500000000000004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3">
        <v>131</v>
      </c>
      <c r="AI264" s="3">
        <v>241</v>
      </c>
      <c r="AJ264" s="3">
        <v>13</v>
      </c>
    </row>
    <row r="265" spans="1:36" s="3" customFormat="1" x14ac:dyDescent="0.2">
      <c r="A265" s="3" t="s">
        <v>246</v>
      </c>
      <c r="B265" s="1" t="s">
        <v>627</v>
      </c>
      <c r="C265" s="1">
        <f t="shared" si="3"/>
        <v>90.045000000000002</v>
      </c>
      <c r="D265" s="1">
        <v>0</v>
      </c>
      <c r="E265" s="1">
        <v>0</v>
      </c>
      <c r="F265" s="1">
        <v>0</v>
      </c>
      <c r="G265" s="1">
        <v>0.67500000000000004</v>
      </c>
      <c r="H265" s="1">
        <v>0</v>
      </c>
      <c r="I265" s="1">
        <v>9</v>
      </c>
      <c r="J265" s="1">
        <v>0</v>
      </c>
      <c r="K265" s="1">
        <v>0</v>
      </c>
      <c r="L265" s="1">
        <v>0</v>
      </c>
      <c r="M265" s="1">
        <v>0</v>
      </c>
      <c r="N265" s="1">
        <v>0.13</v>
      </c>
      <c r="O265" s="1">
        <v>0</v>
      </c>
      <c r="P265" s="1">
        <v>0</v>
      </c>
      <c r="Q265" s="1">
        <v>0.1</v>
      </c>
      <c r="R265" s="1">
        <v>0.05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3">
        <v>150</v>
      </c>
      <c r="AI265" s="3">
        <v>230</v>
      </c>
      <c r="AJ265" s="3">
        <v>3</v>
      </c>
    </row>
    <row r="266" spans="1:36" s="3" customFormat="1" x14ac:dyDescent="0.2">
      <c r="A266" s="3" t="s">
        <v>247</v>
      </c>
      <c r="B266" s="1" t="s">
        <v>627</v>
      </c>
      <c r="C266" s="1">
        <f t="shared" si="3"/>
        <v>93.364999999999995</v>
      </c>
      <c r="D266" s="1">
        <v>0</v>
      </c>
      <c r="E266" s="1">
        <v>0</v>
      </c>
      <c r="F266" s="1">
        <v>0</v>
      </c>
      <c r="G266" s="1">
        <v>0.22</v>
      </c>
      <c r="H266" s="1">
        <v>0</v>
      </c>
      <c r="I266" s="1">
        <v>6</v>
      </c>
      <c r="J266" s="1">
        <v>0</v>
      </c>
      <c r="K266" s="1">
        <v>0</v>
      </c>
      <c r="L266" s="1">
        <v>0</v>
      </c>
      <c r="M266" s="1">
        <v>0</v>
      </c>
      <c r="N266" s="1">
        <v>0.36499999999999999</v>
      </c>
      <c r="O266" s="1">
        <v>0</v>
      </c>
      <c r="P266" s="1">
        <v>0</v>
      </c>
      <c r="Q266" s="1">
        <v>0</v>
      </c>
      <c r="R266" s="1">
        <v>0.05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3">
        <v>131</v>
      </c>
      <c r="AI266" s="3">
        <v>241</v>
      </c>
      <c r="AJ266" s="3">
        <v>13</v>
      </c>
    </row>
    <row r="267" spans="1:36" s="3" customFormat="1" x14ac:dyDescent="0.2">
      <c r="A267" s="3" t="s">
        <v>248</v>
      </c>
      <c r="B267" s="1" t="s">
        <v>626</v>
      </c>
      <c r="C267" s="1">
        <f t="shared" si="3"/>
        <v>92.775000000000006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6</v>
      </c>
      <c r="J267" s="1">
        <v>0</v>
      </c>
      <c r="K267" s="1">
        <v>0</v>
      </c>
      <c r="L267" s="1">
        <v>0</v>
      </c>
      <c r="M267" s="1">
        <v>0</v>
      </c>
      <c r="N267" s="1">
        <v>0.22500000000000003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3">
        <v>180</v>
      </c>
      <c r="AI267" s="3">
        <v>260</v>
      </c>
      <c r="AJ267" s="3">
        <v>7</v>
      </c>
    </row>
    <row r="268" spans="1:36" s="3" customFormat="1" x14ac:dyDescent="0.2">
      <c r="A268" s="3" t="s">
        <v>248</v>
      </c>
      <c r="B268" s="1" t="s">
        <v>628</v>
      </c>
      <c r="C268" s="1">
        <f t="shared" si="3"/>
        <v>92.775000000000006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6</v>
      </c>
      <c r="J268" s="1">
        <v>0</v>
      </c>
      <c r="K268" s="1">
        <v>0</v>
      </c>
      <c r="L268" s="1">
        <v>0</v>
      </c>
      <c r="M268" s="1">
        <v>0</v>
      </c>
      <c r="N268" s="1">
        <v>0.22500000000000003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3">
        <v>160</v>
      </c>
      <c r="AI268" s="3">
        <v>275</v>
      </c>
      <c r="AJ268" s="3">
        <v>7</v>
      </c>
    </row>
    <row r="269" spans="1:36" s="3" customFormat="1" x14ac:dyDescent="0.2">
      <c r="A269" s="3" t="s">
        <v>249</v>
      </c>
      <c r="B269" s="1" t="s">
        <v>627</v>
      </c>
      <c r="C269" s="1">
        <f t="shared" si="3"/>
        <v>89.344999999999999</v>
      </c>
      <c r="D269" s="1">
        <v>0</v>
      </c>
      <c r="E269" s="1">
        <v>0</v>
      </c>
      <c r="F269" s="1">
        <v>0</v>
      </c>
      <c r="G269" s="1">
        <v>0.67500000000000004</v>
      </c>
      <c r="H269" s="1">
        <v>0</v>
      </c>
      <c r="I269" s="1">
        <v>9</v>
      </c>
      <c r="J269" s="1">
        <v>0</v>
      </c>
      <c r="K269" s="1">
        <v>0</v>
      </c>
      <c r="L269" s="1">
        <v>0</v>
      </c>
      <c r="M269" s="1">
        <v>0</v>
      </c>
      <c r="N269" s="1">
        <v>0.13</v>
      </c>
      <c r="O269" s="1">
        <v>0</v>
      </c>
      <c r="P269" s="1">
        <v>0</v>
      </c>
      <c r="Q269" s="1">
        <v>0.35</v>
      </c>
      <c r="R269" s="1">
        <v>0.5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3">
        <v>150</v>
      </c>
      <c r="AI269" s="3">
        <v>230</v>
      </c>
      <c r="AJ269" s="3">
        <v>3</v>
      </c>
    </row>
    <row r="270" spans="1:36" s="3" customFormat="1" x14ac:dyDescent="0.2">
      <c r="A270" s="3" t="s">
        <v>250</v>
      </c>
      <c r="B270" s="1" t="s">
        <v>627</v>
      </c>
      <c r="C270" s="1">
        <f t="shared" si="3"/>
        <v>90.064999999999998</v>
      </c>
      <c r="D270" s="1">
        <v>0</v>
      </c>
      <c r="E270" s="1">
        <v>0</v>
      </c>
      <c r="F270" s="1">
        <v>0</v>
      </c>
      <c r="G270" s="1">
        <v>0.67500000000000004</v>
      </c>
      <c r="H270" s="1">
        <v>0</v>
      </c>
      <c r="I270" s="1">
        <v>9</v>
      </c>
      <c r="J270" s="1">
        <v>0</v>
      </c>
      <c r="K270" s="1">
        <v>0</v>
      </c>
      <c r="L270" s="1">
        <v>0</v>
      </c>
      <c r="M270" s="1">
        <v>0</v>
      </c>
      <c r="N270" s="1">
        <v>0.13</v>
      </c>
      <c r="O270" s="1">
        <v>0</v>
      </c>
      <c r="P270" s="1">
        <v>0</v>
      </c>
      <c r="Q270" s="1">
        <v>0.03</v>
      </c>
      <c r="R270" s="1">
        <v>0.1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3">
        <v>150</v>
      </c>
      <c r="AI270" s="3">
        <v>230</v>
      </c>
      <c r="AJ270" s="3">
        <v>3</v>
      </c>
    </row>
    <row r="271" spans="1:36" s="3" customFormat="1" ht="16" x14ac:dyDescent="0.2">
      <c r="A271" s="5" t="s">
        <v>251</v>
      </c>
      <c r="B271" s="1" t="s">
        <v>629</v>
      </c>
      <c r="C271" s="1">
        <f t="shared" si="3"/>
        <v>92.805000000000007</v>
      </c>
      <c r="D271" s="1">
        <v>0.14199999999999999</v>
      </c>
      <c r="E271" s="1">
        <v>0.46899999999999997</v>
      </c>
      <c r="F271" s="1">
        <v>0.245</v>
      </c>
      <c r="G271" s="1">
        <v>0.63400000000000001</v>
      </c>
      <c r="H271" s="1">
        <v>0</v>
      </c>
      <c r="I271" s="1">
        <v>5.59</v>
      </c>
      <c r="J271" s="1">
        <v>0</v>
      </c>
      <c r="K271" s="1">
        <v>0</v>
      </c>
      <c r="L271" s="1">
        <v>0</v>
      </c>
      <c r="M271" s="1">
        <v>0</v>
      </c>
      <c r="N271" s="1">
        <v>0.11499999999999999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3">
        <v>101</v>
      </c>
      <c r="AI271" s="3">
        <v>183</v>
      </c>
      <c r="AJ271" s="3">
        <v>6.93</v>
      </c>
    </row>
    <row r="272" spans="1:36" s="3" customFormat="1" x14ac:dyDescent="0.2">
      <c r="A272" s="3" t="s">
        <v>252</v>
      </c>
      <c r="B272" s="1" t="s">
        <v>625</v>
      </c>
      <c r="C272" s="1">
        <f t="shared" si="3"/>
        <v>91.36945308</v>
      </c>
      <c r="D272" s="1">
        <v>0.91999999999999993</v>
      </c>
      <c r="E272" s="1">
        <v>0.91999999999999993</v>
      </c>
      <c r="F272" s="1">
        <v>0.91999999999999993</v>
      </c>
      <c r="G272" s="1">
        <v>0</v>
      </c>
      <c r="H272" s="1">
        <v>0</v>
      </c>
      <c r="I272" s="1">
        <v>0</v>
      </c>
      <c r="J272" s="1">
        <v>0</v>
      </c>
      <c r="K272" s="1">
        <v>0.70245860999999998</v>
      </c>
      <c r="L272" s="1">
        <v>0</v>
      </c>
      <c r="M272" s="1">
        <v>0</v>
      </c>
      <c r="N272" s="1">
        <v>0</v>
      </c>
      <c r="O272" s="1">
        <v>5.1680883099999999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3">
        <v>180</v>
      </c>
      <c r="AI272" s="3">
        <v>270</v>
      </c>
      <c r="AJ272" s="3">
        <v>4.3</v>
      </c>
    </row>
    <row r="273" spans="1:36" s="3" customFormat="1" x14ac:dyDescent="0.2">
      <c r="A273" s="3" t="s">
        <v>253</v>
      </c>
      <c r="B273" s="1" t="s">
        <v>625</v>
      </c>
      <c r="C273" s="1">
        <f t="shared" si="3"/>
        <v>91.36945308</v>
      </c>
      <c r="D273" s="1">
        <v>0.91999999999999993</v>
      </c>
      <c r="E273" s="1">
        <v>0.91999999999999993</v>
      </c>
      <c r="F273" s="1">
        <v>0.91999999999999993</v>
      </c>
      <c r="G273" s="1">
        <v>0</v>
      </c>
      <c r="H273" s="1">
        <v>0</v>
      </c>
      <c r="I273" s="1">
        <v>0</v>
      </c>
      <c r="J273" s="1">
        <v>0</v>
      </c>
      <c r="K273" s="1">
        <v>0.70245860999999998</v>
      </c>
      <c r="L273" s="1">
        <v>0</v>
      </c>
      <c r="M273" s="1">
        <v>0</v>
      </c>
      <c r="N273" s="1">
        <v>0</v>
      </c>
      <c r="O273" s="1">
        <v>5.1680883099999999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3">
        <v>180</v>
      </c>
      <c r="AI273" s="3">
        <v>300</v>
      </c>
      <c r="AJ273" s="3">
        <v>5.6</v>
      </c>
    </row>
    <row r="274" spans="1:36" s="3" customFormat="1" x14ac:dyDescent="0.2">
      <c r="A274" s="3" t="s">
        <v>254</v>
      </c>
      <c r="B274" s="1" t="s">
        <v>625</v>
      </c>
      <c r="C274" s="1">
        <f t="shared" si="3"/>
        <v>96.990972909999996</v>
      </c>
      <c r="D274" s="1">
        <v>0</v>
      </c>
      <c r="E274" s="1">
        <v>0</v>
      </c>
      <c r="F274" s="1">
        <v>0</v>
      </c>
      <c r="G274" s="1">
        <v>2.05616851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0.9528585799999999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3">
        <v>140</v>
      </c>
      <c r="AI274" s="3">
        <v>250</v>
      </c>
      <c r="AJ274" s="3">
        <v>9</v>
      </c>
    </row>
    <row r="275" spans="1:36" s="3" customFormat="1" x14ac:dyDescent="0.2">
      <c r="A275" s="3" t="s">
        <v>255</v>
      </c>
      <c r="B275" s="1" t="s">
        <v>627</v>
      </c>
      <c r="C275" s="1">
        <f t="shared" si="3"/>
        <v>96.990972909999996</v>
      </c>
      <c r="D275" s="1">
        <v>0</v>
      </c>
      <c r="E275" s="1">
        <v>0</v>
      </c>
      <c r="F275" s="1">
        <v>0</v>
      </c>
      <c r="G275" s="1">
        <v>2.05616851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0.9528585799999999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3">
        <v>170</v>
      </c>
      <c r="AI275" s="3">
        <v>260</v>
      </c>
      <c r="AJ275" s="3">
        <v>10</v>
      </c>
    </row>
    <row r="276" spans="1:36" s="3" customFormat="1" x14ac:dyDescent="0.2">
      <c r="A276" s="3" t="s">
        <v>256</v>
      </c>
      <c r="B276" s="1" t="s">
        <v>625</v>
      </c>
      <c r="C276" s="1">
        <f t="shared" si="3"/>
        <v>96.990972909999996</v>
      </c>
      <c r="D276" s="1">
        <v>0</v>
      </c>
      <c r="E276" s="1">
        <v>0</v>
      </c>
      <c r="F276" s="1">
        <v>0</v>
      </c>
      <c r="G276" s="1">
        <v>2.05616851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0.9528585799999999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3">
        <v>180</v>
      </c>
      <c r="AI276" s="3">
        <v>290</v>
      </c>
      <c r="AJ276" s="3">
        <v>5.7</v>
      </c>
    </row>
    <row r="277" spans="1:36" s="3" customFormat="1" x14ac:dyDescent="0.2">
      <c r="A277" s="3" t="s">
        <v>257</v>
      </c>
      <c r="B277" s="1" t="s">
        <v>625</v>
      </c>
      <c r="C277" s="1">
        <f t="shared" si="3"/>
        <v>93.186372739999996</v>
      </c>
      <c r="D277" s="1">
        <v>0</v>
      </c>
      <c r="E277" s="1">
        <v>0</v>
      </c>
      <c r="F277" s="1">
        <v>0</v>
      </c>
      <c r="G277" s="1">
        <v>6.01202405</v>
      </c>
      <c r="H277" s="1">
        <v>0</v>
      </c>
      <c r="I277" s="1">
        <v>0</v>
      </c>
      <c r="J277" s="1">
        <v>0</v>
      </c>
      <c r="K277" s="1">
        <v>0.80160321000000012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3">
        <v>180</v>
      </c>
      <c r="AI277" s="3">
        <v>290</v>
      </c>
      <c r="AJ277" s="3">
        <v>5.8</v>
      </c>
    </row>
    <row r="278" spans="1:36" s="3" customFormat="1" x14ac:dyDescent="0.2">
      <c r="A278" s="3" t="s">
        <v>258</v>
      </c>
      <c r="B278" s="1" t="s">
        <v>625</v>
      </c>
      <c r="C278" s="1">
        <f t="shared" si="3"/>
        <v>93.186372739999996</v>
      </c>
      <c r="D278" s="1">
        <v>0</v>
      </c>
      <c r="E278" s="1">
        <v>0</v>
      </c>
      <c r="F278" s="1">
        <v>0</v>
      </c>
      <c r="G278" s="1">
        <v>6.01202405</v>
      </c>
      <c r="H278" s="1">
        <v>0</v>
      </c>
      <c r="I278" s="1">
        <v>0</v>
      </c>
      <c r="J278" s="1">
        <v>0</v>
      </c>
      <c r="K278" s="1">
        <v>0.80160321000000012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3">
        <v>200</v>
      </c>
      <c r="AI278" s="3">
        <v>310</v>
      </c>
      <c r="AJ278" s="3">
        <v>7.1</v>
      </c>
    </row>
    <row r="279" spans="1:36" s="3" customFormat="1" x14ac:dyDescent="0.2">
      <c r="A279" s="3" t="s">
        <v>186</v>
      </c>
      <c r="B279" s="1" t="s">
        <v>626</v>
      </c>
      <c r="C279" s="1">
        <v>91.89</v>
      </c>
      <c r="D279" s="1">
        <v>1.68</v>
      </c>
      <c r="E279" s="1">
        <v>0.1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0.26</v>
      </c>
      <c r="L279" s="1">
        <v>0</v>
      </c>
      <c r="M279" s="1">
        <v>0</v>
      </c>
      <c r="N279" s="1">
        <v>0</v>
      </c>
      <c r="O279" s="1">
        <v>5.29</v>
      </c>
      <c r="P279" s="1">
        <v>0.27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0.51</v>
      </c>
      <c r="AE279" s="1">
        <v>0</v>
      </c>
      <c r="AF279" s="1">
        <v>0</v>
      </c>
      <c r="AG279" s="1">
        <v>0</v>
      </c>
      <c r="AH279" s="3">
        <v>510</v>
      </c>
      <c r="AI279" s="3">
        <v>510</v>
      </c>
      <c r="AJ279" s="3">
        <v>2.7</v>
      </c>
    </row>
    <row r="280" spans="1:36" s="3" customFormat="1" x14ac:dyDescent="0.2">
      <c r="A280" s="3" t="s">
        <v>259</v>
      </c>
      <c r="B280" s="1" t="s">
        <v>625</v>
      </c>
      <c r="C280" s="1">
        <v>93.4</v>
      </c>
      <c r="D280" s="1">
        <v>0.7</v>
      </c>
      <c r="E280" s="1">
        <v>1.8000000000000003</v>
      </c>
      <c r="F280" s="1">
        <v>0.7</v>
      </c>
      <c r="G280" s="1">
        <v>2.7</v>
      </c>
      <c r="H280" s="1">
        <v>0</v>
      </c>
      <c r="I280" s="1">
        <v>0</v>
      </c>
      <c r="J280" s="1">
        <v>0</v>
      </c>
      <c r="K280" s="1">
        <v>0.7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3">
        <v>95</v>
      </c>
      <c r="AI280" s="3">
        <v>140</v>
      </c>
      <c r="AJ280" s="3">
        <v>3</v>
      </c>
    </row>
    <row r="281" spans="1:36" s="3" customFormat="1" x14ac:dyDescent="0.2">
      <c r="A281" s="3" t="s">
        <v>259</v>
      </c>
      <c r="B281" s="1" t="s">
        <v>625</v>
      </c>
      <c r="C281" s="1">
        <v>93.4</v>
      </c>
      <c r="D281" s="1">
        <v>0.7</v>
      </c>
      <c r="E281" s="1">
        <v>1.8000000000000003</v>
      </c>
      <c r="F281" s="1">
        <v>0.7</v>
      </c>
      <c r="G281" s="1">
        <v>2.7</v>
      </c>
      <c r="H281" s="1">
        <v>0</v>
      </c>
      <c r="I281" s="1">
        <v>0</v>
      </c>
      <c r="J281" s="1">
        <v>0</v>
      </c>
      <c r="K281" s="1">
        <v>0.7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3">
        <v>100</v>
      </c>
      <c r="AI281" s="3">
        <v>155</v>
      </c>
      <c r="AJ281" s="3">
        <v>3</v>
      </c>
    </row>
    <row r="282" spans="1:36" s="3" customFormat="1" x14ac:dyDescent="0.2">
      <c r="A282" s="3" t="s">
        <v>260</v>
      </c>
      <c r="B282" s="1" t="s">
        <v>627</v>
      </c>
      <c r="C282" s="1">
        <v>96.146146150000007</v>
      </c>
      <c r="D282" s="1">
        <v>0</v>
      </c>
      <c r="E282" s="1">
        <v>0</v>
      </c>
      <c r="F282" s="1">
        <v>0</v>
      </c>
      <c r="G282" s="1">
        <v>3.2532532500000002</v>
      </c>
      <c r="H282" s="1">
        <v>0</v>
      </c>
      <c r="I282" s="1">
        <v>0</v>
      </c>
      <c r="J282" s="1">
        <v>0</v>
      </c>
      <c r="K282" s="1">
        <v>0.60060060000000004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3">
        <v>237.5</v>
      </c>
      <c r="AI282" s="3">
        <v>317.5</v>
      </c>
      <c r="AJ282" s="3">
        <v>17.5</v>
      </c>
    </row>
    <row r="283" spans="1:36" s="3" customFormat="1" x14ac:dyDescent="0.2">
      <c r="A283" s="3" t="s">
        <v>261</v>
      </c>
      <c r="B283" s="1" t="s">
        <v>627</v>
      </c>
      <c r="C283" s="1">
        <v>93.9</v>
      </c>
      <c r="D283" s="1">
        <v>0</v>
      </c>
      <c r="E283" s="1">
        <v>0</v>
      </c>
      <c r="F283" s="1">
        <v>0</v>
      </c>
      <c r="G283" s="1">
        <v>5.54</v>
      </c>
      <c r="H283" s="1">
        <v>0</v>
      </c>
      <c r="I283" s="1">
        <v>0</v>
      </c>
      <c r="J283" s="1">
        <v>0</v>
      </c>
      <c r="K283" s="1">
        <v>0.56000000000000005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3">
        <v>196</v>
      </c>
      <c r="AI283" s="3">
        <v>275</v>
      </c>
      <c r="AJ283" s="3">
        <v>5</v>
      </c>
    </row>
    <row r="284" spans="1:36" s="3" customFormat="1" x14ac:dyDescent="0.2">
      <c r="A284" s="3" t="s">
        <v>261</v>
      </c>
      <c r="B284" s="1" t="s">
        <v>625</v>
      </c>
      <c r="C284" s="1">
        <v>93.9</v>
      </c>
      <c r="D284" s="1">
        <v>0</v>
      </c>
      <c r="E284" s="1">
        <v>0</v>
      </c>
      <c r="F284" s="1">
        <v>0</v>
      </c>
      <c r="G284" s="1">
        <v>5.54</v>
      </c>
      <c r="H284" s="1">
        <v>0</v>
      </c>
      <c r="I284" s="1">
        <v>0</v>
      </c>
      <c r="J284" s="1">
        <v>0</v>
      </c>
      <c r="K284" s="1">
        <v>0.56000000000000005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3">
        <v>265</v>
      </c>
      <c r="AI284" s="3">
        <v>314</v>
      </c>
      <c r="AJ284" s="3">
        <v>4</v>
      </c>
    </row>
    <row r="285" spans="1:36" s="3" customFormat="1" x14ac:dyDescent="0.2">
      <c r="A285" s="3" t="s">
        <v>261</v>
      </c>
      <c r="B285" s="1" t="s">
        <v>626</v>
      </c>
      <c r="C285" s="1">
        <v>93.9</v>
      </c>
      <c r="D285" s="1">
        <v>0</v>
      </c>
      <c r="E285" s="1">
        <v>0</v>
      </c>
      <c r="F285" s="1">
        <v>0</v>
      </c>
      <c r="G285" s="1">
        <v>5.54</v>
      </c>
      <c r="H285" s="1">
        <v>0</v>
      </c>
      <c r="I285" s="1">
        <v>0</v>
      </c>
      <c r="J285" s="1">
        <v>0</v>
      </c>
      <c r="K285" s="1">
        <v>0.56000000000000005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3">
        <v>288</v>
      </c>
      <c r="AI285" s="3">
        <v>371</v>
      </c>
      <c r="AJ285" s="3">
        <v>18</v>
      </c>
    </row>
    <row r="286" spans="1:36" s="3" customFormat="1" x14ac:dyDescent="0.2">
      <c r="A286" s="1" t="s">
        <v>262</v>
      </c>
      <c r="B286" s="1" t="s">
        <v>626</v>
      </c>
      <c r="C286" s="1">
        <v>94.51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0.53</v>
      </c>
      <c r="L286" s="1">
        <v>0</v>
      </c>
      <c r="M286" s="1">
        <v>0</v>
      </c>
      <c r="N286" s="1">
        <v>0</v>
      </c>
      <c r="O286" s="1">
        <v>4.95</v>
      </c>
      <c r="P286" s="1">
        <v>0</v>
      </c>
      <c r="Q286" s="1">
        <v>0</v>
      </c>
      <c r="R286" s="1">
        <v>0.01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153</v>
      </c>
      <c r="AI286" s="1">
        <v>231</v>
      </c>
      <c r="AJ286" s="1">
        <v>29.1</v>
      </c>
    </row>
    <row r="287" spans="1:36" s="3" customFormat="1" x14ac:dyDescent="0.2">
      <c r="A287" s="3" t="s">
        <v>263</v>
      </c>
      <c r="B287" s="1" t="s">
        <v>627</v>
      </c>
      <c r="C287" s="1">
        <v>84.65</v>
      </c>
      <c r="D287" s="1">
        <v>0</v>
      </c>
      <c r="E287" s="1">
        <v>0</v>
      </c>
      <c r="F287" s="1">
        <v>0</v>
      </c>
      <c r="G287" s="1">
        <v>13.4</v>
      </c>
      <c r="H287" s="1">
        <v>0</v>
      </c>
      <c r="I287" s="1">
        <v>1.73</v>
      </c>
      <c r="J287" s="1">
        <v>0</v>
      </c>
      <c r="K287" s="1">
        <v>0</v>
      </c>
      <c r="L287" s="1">
        <v>0</v>
      </c>
      <c r="M287" s="1">
        <v>0</v>
      </c>
      <c r="N287" s="1">
        <v>0.22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3">
        <v>118</v>
      </c>
      <c r="AI287" s="3">
        <v>145</v>
      </c>
      <c r="AJ287" s="3">
        <v>1.2</v>
      </c>
    </row>
    <row r="288" spans="1:36" s="3" customFormat="1" x14ac:dyDescent="0.2">
      <c r="A288" s="3" t="s">
        <v>264</v>
      </c>
      <c r="B288" s="1" t="s">
        <v>626</v>
      </c>
      <c r="C288" s="1">
        <v>80.150000000000006</v>
      </c>
      <c r="D288" s="1">
        <v>0</v>
      </c>
      <c r="E288" s="1">
        <v>0</v>
      </c>
      <c r="F288" s="1">
        <v>0</v>
      </c>
      <c r="G288" s="1">
        <v>10.7</v>
      </c>
      <c r="H288" s="1">
        <v>0</v>
      </c>
      <c r="I288" s="1">
        <v>9</v>
      </c>
      <c r="J288" s="1">
        <v>0</v>
      </c>
      <c r="K288" s="1">
        <v>0</v>
      </c>
      <c r="L288" s="1">
        <v>0</v>
      </c>
      <c r="M288" s="1">
        <v>0</v>
      </c>
      <c r="N288" s="1">
        <v>0.15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3">
        <v>120</v>
      </c>
      <c r="AI288" s="3">
        <v>135</v>
      </c>
      <c r="AJ288" s="3">
        <v>0.47</v>
      </c>
    </row>
    <row r="289" spans="1:36" s="3" customFormat="1" x14ac:dyDescent="0.2">
      <c r="A289" s="3" t="s">
        <v>265</v>
      </c>
      <c r="B289" s="1" t="s">
        <v>626</v>
      </c>
      <c r="C289" s="1">
        <v>80.150000000000006</v>
      </c>
      <c r="D289" s="1">
        <v>0</v>
      </c>
      <c r="E289" s="1">
        <v>0</v>
      </c>
      <c r="F289" s="1">
        <v>0</v>
      </c>
      <c r="G289" s="1">
        <v>10.7</v>
      </c>
      <c r="H289" s="1">
        <v>0</v>
      </c>
      <c r="I289" s="1">
        <v>9</v>
      </c>
      <c r="J289" s="1">
        <v>0</v>
      </c>
      <c r="K289" s="1">
        <v>0</v>
      </c>
      <c r="L289" s="1">
        <v>0</v>
      </c>
      <c r="M289" s="1">
        <v>0</v>
      </c>
      <c r="N289" s="1">
        <v>0.15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3">
        <v>117</v>
      </c>
      <c r="AI289" s="3">
        <v>120</v>
      </c>
      <c r="AJ289" s="3">
        <v>0.24</v>
      </c>
    </row>
    <row r="290" spans="1:36" s="3" customFormat="1" x14ac:dyDescent="0.2">
      <c r="A290" s="3" t="s">
        <v>266</v>
      </c>
      <c r="B290" s="1" t="s">
        <v>626</v>
      </c>
      <c r="C290" s="1">
        <v>80.150000000000006</v>
      </c>
      <c r="D290" s="1">
        <v>0</v>
      </c>
      <c r="E290" s="1">
        <v>0</v>
      </c>
      <c r="F290" s="1">
        <v>0</v>
      </c>
      <c r="G290" s="1">
        <v>10.7</v>
      </c>
      <c r="H290" s="1">
        <v>0</v>
      </c>
      <c r="I290" s="1">
        <v>9</v>
      </c>
      <c r="J290" s="1">
        <v>0</v>
      </c>
      <c r="K290" s="1">
        <v>0</v>
      </c>
      <c r="L290" s="1">
        <v>0</v>
      </c>
      <c r="M290" s="1">
        <v>0</v>
      </c>
      <c r="N290" s="1">
        <v>0.15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3">
        <v>117.5</v>
      </c>
      <c r="AI290" s="3">
        <v>127</v>
      </c>
      <c r="AJ290" s="3">
        <v>0.33</v>
      </c>
    </row>
    <row r="291" spans="1:36" s="3" customFormat="1" x14ac:dyDescent="0.2">
      <c r="A291" s="3" t="s">
        <v>267</v>
      </c>
      <c r="B291" s="1" t="s">
        <v>626</v>
      </c>
      <c r="C291" s="1">
        <v>80.150000000000006</v>
      </c>
      <c r="D291" s="1">
        <v>0</v>
      </c>
      <c r="E291" s="1">
        <v>0</v>
      </c>
      <c r="F291" s="1">
        <v>0</v>
      </c>
      <c r="G291" s="1">
        <v>10.7</v>
      </c>
      <c r="H291" s="1">
        <v>0</v>
      </c>
      <c r="I291" s="1">
        <v>9</v>
      </c>
      <c r="J291" s="1">
        <v>0</v>
      </c>
      <c r="K291" s="1">
        <v>0</v>
      </c>
      <c r="L291" s="1">
        <v>0</v>
      </c>
      <c r="M291" s="1">
        <v>0</v>
      </c>
      <c r="N291" s="1">
        <v>0.15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3">
        <v>110</v>
      </c>
      <c r="AI291" s="3">
        <v>120</v>
      </c>
      <c r="AJ291" s="3">
        <v>0.45</v>
      </c>
    </row>
    <row r="292" spans="1:36" s="3" customFormat="1" x14ac:dyDescent="0.2">
      <c r="A292" s="3" t="s">
        <v>268</v>
      </c>
      <c r="B292" s="1" t="s">
        <v>626</v>
      </c>
      <c r="C292" s="1">
        <v>80.150000000000006</v>
      </c>
      <c r="D292" s="1">
        <v>0</v>
      </c>
      <c r="E292" s="1">
        <v>0</v>
      </c>
      <c r="F292" s="1">
        <v>0</v>
      </c>
      <c r="G292" s="1">
        <v>10.7</v>
      </c>
      <c r="H292" s="1">
        <v>0</v>
      </c>
      <c r="I292" s="1">
        <v>9</v>
      </c>
      <c r="J292" s="1">
        <v>0</v>
      </c>
      <c r="K292" s="1">
        <v>0</v>
      </c>
      <c r="L292" s="1">
        <v>0</v>
      </c>
      <c r="M292" s="1">
        <v>0</v>
      </c>
      <c r="N292" s="1">
        <v>0.15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3">
        <v>105</v>
      </c>
      <c r="AI292" s="3">
        <v>110</v>
      </c>
      <c r="AJ292" s="3">
        <v>0.23</v>
      </c>
    </row>
    <row r="293" spans="1:36" s="3" customFormat="1" x14ac:dyDescent="0.2">
      <c r="A293" s="3" t="s">
        <v>269</v>
      </c>
      <c r="B293" s="1" t="s">
        <v>627</v>
      </c>
      <c r="C293" s="1">
        <v>88.18</v>
      </c>
      <c r="D293" s="1">
        <v>0</v>
      </c>
      <c r="E293" s="1">
        <v>0</v>
      </c>
      <c r="F293" s="1">
        <v>0</v>
      </c>
      <c r="G293" s="1">
        <v>9.6999999999999993</v>
      </c>
      <c r="H293" s="1">
        <v>0</v>
      </c>
      <c r="I293" s="1">
        <v>1.87</v>
      </c>
      <c r="J293" s="1">
        <v>0</v>
      </c>
      <c r="K293" s="1">
        <v>0</v>
      </c>
      <c r="L293" s="1">
        <v>0</v>
      </c>
      <c r="M293" s="1">
        <v>0</v>
      </c>
      <c r="N293" s="1">
        <v>0.25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3">
        <v>93</v>
      </c>
      <c r="AI293" s="3">
        <v>140</v>
      </c>
      <c r="AJ293" s="3">
        <v>1.96</v>
      </c>
    </row>
    <row r="294" spans="1:36" s="3" customFormat="1" x14ac:dyDescent="0.2">
      <c r="A294" s="3" t="s">
        <v>270</v>
      </c>
      <c r="B294" s="1" t="s">
        <v>626</v>
      </c>
      <c r="C294" s="1">
        <v>81.290000000000006</v>
      </c>
      <c r="D294" s="1">
        <v>0</v>
      </c>
      <c r="E294" s="1">
        <v>0</v>
      </c>
      <c r="F294" s="1">
        <v>0</v>
      </c>
      <c r="G294" s="1">
        <v>9.25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1.79</v>
      </c>
      <c r="P294" s="1">
        <v>0</v>
      </c>
      <c r="Q294" s="1">
        <v>0</v>
      </c>
      <c r="R294" s="1">
        <v>0</v>
      </c>
      <c r="S294" s="1">
        <v>7.6700000000000008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3">
        <v>166</v>
      </c>
      <c r="AI294" s="3">
        <v>247</v>
      </c>
      <c r="AJ294" s="3">
        <v>17.100000000000001</v>
      </c>
    </row>
    <row r="295" spans="1:36" s="3" customFormat="1" x14ac:dyDescent="0.2">
      <c r="A295" s="1" t="s">
        <v>271</v>
      </c>
      <c r="B295" s="1" t="s">
        <v>626</v>
      </c>
      <c r="C295" s="1">
        <v>90.17</v>
      </c>
      <c r="D295" s="1">
        <v>0</v>
      </c>
      <c r="E295" s="1">
        <v>0</v>
      </c>
      <c r="F295" s="1">
        <v>0</v>
      </c>
      <c r="G295" s="1">
        <v>8.82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1.01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225</v>
      </c>
      <c r="AI295" s="1">
        <v>327</v>
      </c>
      <c r="AJ295" s="1">
        <v>14.4</v>
      </c>
    </row>
    <row r="296" spans="1:36" s="3" customFormat="1" x14ac:dyDescent="0.2">
      <c r="A296" s="1" t="s">
        <v>271</v>
      </c>
      <c r="B296" s="1" t="s">
        <v>625</v>
      </c>
      <c r="C296" s="1">
        <v>90.17</v>
      </c>
      <c r="D296" s="1">
        <v>0</v>
      </c>
      <c r="E296" s="1">
        <v>0</v>
      </c>
      <c r="F296" s="1">
        <v>0</v>
      </c>
      <c r="G296" s="1">
        <v>8.82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1.01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343</v>
      </c>
      <c r="AI296" s="1">
        <v>374</v>
      </c>
      <c r="AJ296" s="1">
        <v>2.5499999999999998</v>
      </c>
    </row>
    <row r="297" spans="1:36" s="3" customFormat="1" x14ac:dyDescent="0.2">
      <c r="A297" s="1" t="s">
        <v>272</v>
      </c>
      <c r="B297" s="1" t="s">
        <v>627</v>
      </c>
      <c r="C297" s="1">
        <v>87.25</v>
      </c>
      <c r="D297" s="1">
        <v>0.15</v>
      </c>
      <c r="E297" s="1">
        <v>0.15</v>
      </c>
      <c r="F297" s="1">
        <v>0.15</v>
      </c>
      <c r="G297" s="1">
        <v>8.01</v>
      </c>
      <c r="H297" s="1">
        <v>0</v>
      </c>
      <c r="I297" s="1">
        <v>3.94</v>
      </c>
      <c r="J297" s="1">
        <v>0</v>
      </c>
      <c r="K297" s="1">
        <v>0</v>
      </c>
      <c r="L297" s="1">
        <v>0</v>
      </c>
      <c r="M297" s="1">
        <v>0</v>
      </c>
      <c r="N297" s="1">
        <v>0.35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110</v>
      </c>
      <c r="AI297" s="1">
        <v>145</v>
      </c>
      <c r="AJ297" s="1">
        <v>4.3</v>
      </c>
    </row>
    <row r="298" spans="1:36" s="3" customFormat="1" x14ac:dyDescent="0.2">
      <c r="A298" s="1" t="s">
        <v>273</v>
      </c>
      <c r="B298" s="1" t="s">
        <v>627</v>
      </c>
      <c r="C298" s="1">
        <v>86.16</v>
      </c>
      <c r="D298" s="1">
        <v>0.53</v>
      </c>
      <c r="E298" s="1">
        <v>0.53</v>
      </c>
      <c r="F298" s="1">
        <v>0.53</v>
      </c>
      <c r="G298" s="1">
        <v>7.919999999999999</v>
      </c>
      <c r="H298" s="1">
        <v>0</v>
      </c>
      <c r="I298" s="1">
        <v>4.07</v>
      </c>
      <c r="J298" s="1">
        <v>0</v>
      </c>
      <c r="K298" s="1">
        <v>0</v>
      </c>
      <c r="L298" s="1">
        <v>0</v>
      </c>
      <c r="M298" s="1">
        <v>0</v>
      </c>
      <c r="N298" s="1">
        <v>0.26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120</v>
      </c>
      <c r="AI298" s="1">
        <v>165</v>
      </c>
      <c r="AJ298" s="1">
        <v>4</v>
      </c>
    </row>
    <row r="299" spans="1:36" s="3" customFormat="1" x14ac:dyDescent="0.2">
      <c r="A299" s="3" t="s">
        <v>274</v>
      </c>
      <c r="B299" s="1" t="s">
        <v>627</v>
      </c>
      <c r="C299" s="1">
        <v>90.15</v>
      </c>
      <c r="D299" s="1">
        <v>0</v>
      </c>
      <c r="E299" s="1">
        <v>0</v>
      </c>
      <c r="F299" s="1">
        <v>0</v>
      </c>
      <c r="G299" s="1">
        <v>7.6700000000000008</v>
      </c>
      <c r="H299" s="1">
        <v>0</v>
      </c>
      <c r="I299" s="1">
        <v>1.9299999999999997</v>
      </c>
      <c r="J299" s="1">
        <v>0</v>
      </c>
      <c r="K299" s="1">
        <v>0</v>
      </c>
      <c r="L299" s="1">
        <v>0</v>
      </c>
      <c r="M299" s="1">
        <v>0</v>
      </c>
      <c r="N299" s="1">
        <v>0.25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3">
        <v>100</v>
      </c>
      <c r="AI299" s="3">
        <v>140</v>
      </c>
      <c r="AJ299" s="3">
        <v>2.2000000000000002</v>
      </c>
    </row>
    <row r="300" spans="1:36" s="3" customFormat="1" x14ac:dyDescent="0.2">
      <c r="A300" s="3" t="s">
        <v>275</v>
      </c>
      <c r="B300" s="1" t="s">
        <v>626</v>
      </c>
      <c r="C300" s="1">
        <v>90.56</v>
      </c>
      <c r="D300" s="1">
        <v>0</v>
      </c>
      <c r="E300" s="1">
        <v>0</v>
      </c>
      <c r="F300" s="1">
        <v>0</v>
      </c>
      <c r="G300" s="1">
        <v>6.17</v>
      </c>
      <c r="H300" s="1">
        <v>2.29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0.98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3">
        <v>250</v>
      </c>
      <c r="AI300" s="3">
        <v>323</v>
      </c>
      <c r="AJ300" s="3">
        <v>12.5</v>
      </c>
    </row>
    <row r="301" spans="1:36" s="3" customFormat="1" x14ac:dyDescent="0.2">
      <c r="A301" s="6" t="s">
        <v>276</v>
      </c>
      <c r="B301" s="1" t="s">
        <v>627</v>
      </c>
      <c r="C301" s="1">
        <f>((100-(D301+E301+F301+G301))/100)*100</f>
        <v>96.25</v>
      </c>
      <c r="D301" s="1">
        <v>1.87</v>
      </c>
      <c r="E301" s="1">
        <v>0.62</v>
      </c>
      <c r="F301" s="1">
        <v>0.45000000000000007</v>
      </c>
      <c r="G301" s="1">
        <v>0.81000000000000016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7">
        <v>144</v>
      </c>
      <c r="AI301" s="7">
        <v>162.1</v>
      </c>
      <c r="AJ301" s="7">
        <v>2.6</v>
      </c>
    </row>
    <row r="302" spans="1:36" s="3" customFormat="1" x14ac:dyDescent="0.2">
      <c r="A302" s="3" t="s">
        <v>747</v>
      </c>
      <c r="B302" s="1" t="s">
        <v>626</v>
      </c>
      <c r="C302" s="1">
        <v>91.62</v>
      </c>
      <c r="D302" s="1">
        <v>0</v>
      </c>
      <c r="E302" s="1">
        <v>0</v>
      </c>
      <c r="F302" s="1">
        <v>0</v>
      </c>
      <c r="G302" s="1">
        <v>0.79</v>
      </c>
      <c r="H302" s="1">
        <v>0</v>
      </c>
      <c r="I302" s="1">
        <v>2.5299999999999998</v>
      </c>
      <c r="J302" s="1">
        <v>0</v>
      </c>
      <c r="K302" s="1">
        <v>0</v>
      </c>
      <c r="L302" s="1">
        <v>0</v>
      </c>
      <c r="M302" s="1">
        <v>0</v>
      </c>
      <c r="N302" s="1">
        <v>0.27</v>
      </c>
      <c r="O302" s="1">
        <v>0</v>
      </c>
      <c r="P302" s="1">
        <v>0</v>
      </c>
      <c r="Q302" s="1">
        <v>0</v>
      </c>
      <c r="R302" s="1">
        <v>0</v>
      </c>
      <c r="S302" s="1">
        <v>4.79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3">
        <v>161</v>
      </c>
      <c r="AI302" s="3">
        <v>229</v>
      </c>
      <c r="AJ302" s="3">
        <v>18</v>
      </c>
    </row>
    <row r="303" spans="1:36" s="3" customFormat="1" x14ac:dyDescent="0.2">
      <c r="A303" s="3" t="s">
        <v>748</v>
      </c>
      <c r="B303" s="1" t="s">
        <v>626</v>
      </c>
      <c r="C303" s="1">
        <v>91.62</v>
      </c>
      <c r="D303" s="1">
        <v>0</v>
      </c>
      <c r="E303" s="1">
        <v>0</v>
      </c>
      <c r="F303" s="1">
        <v>0</v>
      </c>
      <c r="G303" s="1">
        <v>0.79</v>
      </c>
      <c r="H303" s="1">
        <v>0</v>
      </c>
      <c r="I303" s="1">
        <v>2.5299999999999998</v>
      </c>
      <c r="J303" s="1">
        <v>0</v>
      </c>
      <c r="K303" s="1">
        <v>0</v>
      </c>
      <c r="L303" s="1">
        <v>0</v>
      </c>
      <c r="M303" s="1">
        <v>0</v>
      </c>
      <c r="N303" s="1">
        <v>0.27</v>
      </c>
      <c r="O303" s="1">
        <v>0</v>
      </c>
      <c r="P303" s="1">
        <v>0</v>
      </c>
      <c r="Q303" s="1">
        <v>0</v>
      </c>
      <c r="R303" s="1">
        <v>0</v>
      </c>
      <c r="S303" s="1">
        <v>4.79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3">
        <v>112</v>
      </c>
      <c r="AI303" s="3">
        <v>210</v>
      </c>
      <c r="AJ303" s="3">
        <v>31</v>
      </c>
    </row>
    <row r="304" spans="1:36" s="3" customFormat="1" x14ac:dyDescent="0.2">
      <c r="A304" s="3" t="s">
        <v>277</v>
      </c>
      <c r="B304" s="1" t="s">
        <v>626</v>
      </c>
      <c r="C304" s="1">
        <v>91.62</v>
      </c>
      <c r="D304" s="1">
        <v>0</v>
      </c>
      <c r="E304" s="1">
        <v>0</v>
      </c>
      <c r="F304" s="1">
        <v>0</v>
      </c>
      <c r="G304" s="1">
        <v>0.79</v>
      </c>
      <c r="H304" s="1">
        <v>0</v>
      </c>
      <c r="I304" s="1">
        <v>2.5299999999999998</v>
      </c>
      <c r="J304" s="1">
        <v>0</v>
      </c>
      <c r="K304" s="1">
        <v>0</v>
      </c>
      <c r="L304" s="1">
        <v>0</v>
      </c>
      <c r="M304" s="1">
        <v>0</v>
      </c>
      <c r="N304" s="1">
        <v>0.27</v>
      </c>
      <c r="O304" s="1">
        <v>0</v>
      </c>
      <c r="P304" s="1">
        <v>0</v>
      </c>
      <c r="Q304" s="1">
        <v>0</v>
      </c>
      <c r="R304" s="1">
        <v>0</v>
      </c>
      <c r="S304" s="1">
        <v>4.79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3">
        <v>113</v>
      </c>
      <c r="AI304" s="3">
        <v>242</v>
      </c>
      <c r="AJ304" s="3">
        <v>25</v>
      </c>
    </row>
    <row r="305" spans="1:36" s="3" customFormat="1" x14ac:dyDescent="0.2">
      <c r="A305" s="3" t="s">
        <v>749</v>
      </c>
      <c r="B305" s="1" t="s">
        <v>626</v>
      </c>
      <c r="C305" s="1">
        <v>95.4</v>
      </c>
      <c r="D305" s="1">
        <v>0</v>
      </c>
      <c r="E305" s="1">
        <v>0</v>
      </c>
      <c r="F305" s="1">
        <v>0</v>
      </c>
      <c r="G305" s="1">
        <v>0.76</v>
      </c>
      <c r="H305" s="1">
        <v>0</v>
      </c>
      <c r="I305" s="1">
        <v>2.52</v>
      </c>
      <c r="J305" s="1">
        <v>0</v>
      </c>
      <c r="K305" s="1">
        <v>0</v>
      </c>
      <c r="L305" s="1">
        <v>0</v>
      </c>
      <c r="M305" s="1">
        <v>0</v>
      </c>
      <c r="N305" s="1">
        <v>0.39</v>
      </c>
      <c r="O305" s="1">
        <v>0</v>
      </c>
      <c r="P305" s="1">
        <v>0</v>
      </c>
      <c r="Q305" s="1">
        <v>0</v>
      </c>
      <c r="R305" s="1">
        <v>0</v>
      </c>
      <c r="S305" s="1">
        <v>0.93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3">
        <v>168</v>
      </c>
      <c r="AI305" s="3">
        <v>246</v>
      </c>
      <c r="AJ305" s="3">
        <v>14</v>
      </c>
    </row>
    <row r="306" spans="1:36" s="3" customFormat="1" x14ac:dyDescent="0.2">
      <c r="A306" s="3" t="s">
        <v>750</v>
      </c>
      <c r="B306" s="1" t="s">
        <v>626</v>
      </c>
      <c r="C306" s="1">
        <v>95.4</v>
      </c>
      <c r="D306" s="1">
        <v>0</v>
      </c>
      <c r="E306" s="1">
        <v>0</v>
      </c>
      <c r="F306" s="1">
        <v>0</v>
      </c>
      <c r="G306" s="1">
        <v>0.76</v>
      </c>
      <c r="H306" s="1">
        <v>0</v>
      </c>
      <c r="I306" s="1">
        <v>2.52</v>
      </c>
      <c r="J306" s="1">
        <v>0</v>
      </c>
      <c r="K306" s="1">
        <v>0</v>
      </c>
      <c r="L306" s="1">
        <v>0</v>
      </c>
      <c r="M306" s="1">
        <v>0</v>
      </c>
      <c r="N306" s="1">
        <v>0.39</v>
      </c>
      <c r="O306" s="1">
        <v>0</v>
      </c>
      <c r="P306" s="1">
        <v>0</v>
      </c>
      <c r="Q306" s="1">
        <v>0</v>
      </c>
      <c r="R306" s="1">
        <v>0</v>
      </c>
      <c r="S306" s="1">
        <v>0.93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3">
        <v>116</v>
      </c>
      <c r="AI306" s="3">
        <v>227</v>
      </c>
      <c r="AJ306" s="3">
        <v>26</v>
      </c>
    </row>
    <row r="307" spans="1:36" s="3" customFormat="1" x14ac:dyDescent="0.2">
      <c r="A307" s="3" t="s">
        <v>751</v>
      </c>
      <c r="B307" s="1" t="s">
        <v>626</v>
      </c>
      <c r="C307" s="1">
        <v>95.4</v>
      </c>
      <c r="D307" s="1">
        <v>0</v>
      </c>
      <c r="E307" s="1">
        <v>0</v>
      </c>
      <c r="F307" s="1">
        <v>0</v>
      </c>
      <c r="G307" s="1">
        <v>0.76</v>
      </c>
      <c r="H307" s="1">
        <v>0</v>
      </c>
      <c r="I307" s="1">
        <v>2.52</v>
      </c>
      <c r="J307" s="1">
        <v>0</v>
      </c>
      <c r="K307" s="1">
        <v>0</v>
      </c>
      <c r="L307" s="1">
        <v>0</v>
      </c>
      <c r="M307" s="1">
        <v>0</v>
      </c>
      <c r="N307" s="1">
        <v>0.39</v>
      </c>
      <c r="O307" s="1">
        <v>0</v>
      </c>
      <c r="P307" s="1">
        <v>0</v>
      </c>
      <c r="Q307" s="1">
        <v>0</v>
      </c>
      <c r="R307" s="1">
        <v>0</v>
      </c>
      <c r="S307" s="1">
        <v>0.93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3">
        <v>109</v>
      </c>
      <c r="AI307" s="3">
        <v>243</v>
      </c>
      <c r="AJ307" s="3">
        <v>21</v>
      </c>
    </row>
    <row r="308" spans="1:36" s="3" customFormat="1" x14ac:dyDescent="0.2">
      <c r="A308" s="3" t="s">
        <v>111</v>
      </c>
      <c r="B308" s="1" t="s">
        <v>626</v>
      </c>
      <c r="C308" s="1">
        <v>90.15</v>
      </c>
      <c r="D308" s="1">
        <v>0</v>
      </c>
      <c r="E308" s="1">
        <v>0</v>
      </c>
      <c r="F308" s="1">
        <v>0</v>
      </c>
      <c r="G308" s="1">
        <v>0.7</v>
      </c>
      <c r="H308" s="1">
        <v>0</v>
      </c>
      <c r="I308" s="1">
        <v>9</v>
      </c>
      <c r="J308" s="1">
        <v>0</v>
      </c>
      <c r="K308" s="1">
        <v>0</v>
      </c>
      <c r="L308" s="1">
        <v>0</v>
      </c>
      <c r="M308" s="1">
        <v>0</v>
      </c>
      <c r="N308" s="1">
        <v>0.15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3">
        <v>203</v>
      </c>
      <c r="AI308" s="3">
        <v>322</v>
      </c>
      <c r="AJ308" s="3">
        <v>9</v>
      </c>
    </row>
    <row r="309" spans="1:36" s="3" customFormat="1" x14ac:dyDescent="0.2">
      <c r="A309" s="3" t="s">
        <v>111</v>
      </c>
      <c r="B309" s="1" t="s">
        <v>626</v>
      </c>
      <c r="C309" s="1">
        <v>90.15</v>
      </c>
      <c r="D309" s="1">
        <v>0</v>
      </c>
      <c r="E309" s="1">
        <v>0</v>
      </c>
      <c r="F309" s="1">
        <v>0</v>
      </c>
      <c r="G309" s="1">
        <v>0.7</v>
      </c>
      <c r="H309" s="1">
        <v>0</v>
      </c>
      <c r="I309" s="1">
        <v>9</v>
      </c>
      <c r="J309" s="1">
        <v>0</v>
      </c>
      <c r="K309" s="1">
        <v>0</v>
      </c>
      <c r="L309" s="1">
        <v>0</v>
      </c>
      <c r="M309" s="1">
        <v>0</v>
      </c>
      <c r="N309" s="1">
        <v>0.15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3">
        <v>203</v>
      </c>
      <c r="AI309" s="3">
        <v>322</v>
      </c>
      <c r="AJ309" s="3">
        <v>3</v>
      </c>
    </row>
    <row r="310" spans="1:36" s="3" customFormat="1" x14ac:dyDescent="0.2">
      <c r="A310" s="3" t="s">
        <v>129</v>
      </c>
      <c r="B310" s="1" t="s">
        <v>626</v>
      </c>
      <c r="C310" s="1">
        <v>90.15</v>
      </c>
      <c r="D310" s="1">
        <v>0</v>
      </c>
      <c r="E310" s="1">
        <v>0</v>
      </c>
      <c r="F310" s="1">
        <v>0</v>
      </c>
      <c r="G310" s="1">
        <v>0.7</v>
      </c>
      <c r="H310" s="1">
        <v>0</v>
      </c>
      <c r="I310" s="1">
        <v>9</v>
      </c>
      <c r="J310" s="1">
        <v>0</v>
      </c>
      <c r="K310" s="1">
        <v>0</v>
      </c>
      <c r="L310" s="1">
        <v>0</v>
      </c>
      <c r="M310" s="1">
        <v>0</v>
      </c>
      <c r="N310" s="1">
        <v>0.15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3">
        <v>229</v>
      </c>
      <c r="AI310" s="3">
        <v>302</v>
      </c>
      <c r="AJ310" s="3">
        <v>6</v>
      </c>
    </row>
    <row r="311" spans="1:36" s="3" customFormat="1" x14ac:dyDescent="0.2">
      <c r="A311" s="6" t="s">
        <v>278</v>
      </c>
      <c r="B311" s="1" t="s">
        <v>627</v>
      </c>
      <c r="C311" s="1">
        <f t="shared" ref="C311:C319" si="4">((100-(D311+E311+F311+G311))/100)*100</f>
        <v>96.54</v>
      </c>
      <c r="D311" s="1">
        <v>1.8900000000000001</v>
      </c>
      <c r="E311" s="1">
        <v>0.56000000000000005</v>
      </c>
      <c r="F311" s="1">
        <v>0.33</v>
      </c>
      <c r="G311" s="1">
        <v>0.68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7">
        <v>138.80000000000001</v>
      </c>
      <c r="AI311" s="7">
        <v>153</v>
      </c>
      <c r="AJ311" s="6">
        <v>2.62</v>
      </c>
    </row>
    <row r="312" spans="1:36" s="3" customFormat="1" x14ac:dyDescent="0.2">
      <c r="A312" s="6" t="s">
        <v>279</v>
      </c>
      <c r="B312" s="1" t="s">
        <v>627</v>
      </c>
      <c r="C312" s="1">
        <f t="shared" si="4"/>
        <v>95.59</v>
      </c>
      <c r="D312" s="1">
        <v>1.29</v>
      </c>
      <c r="E312" s="1">
        <v>0.51</v>
      </c>
      <c r="F312" s="1">
        <v>1.94</v>
      </c>
      <c r="G312" s="1">
        <v>0.67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3">
        <v>157.22653750000001</v>
      </c>
      <c r="AI312" s="3">
        <v>180.25615000000002</v>
      </c>
      <c r="AJ312" s="3">
        <v>1.4562962499999998</v>
      </c>
    </row>
    <row r="313" spans="1:36" s="3" customFormat="1" x14ac:dyDescent="0.2">
      <c r="A313" s="6" t="s">
        <v>280</v>
      </c>
      <c r="B313" s="1" t="s">
        <v>627</v>
      </c>
      <c r="C313" s="1">
        <f t="shared" si="4"/>
        <v>96.93</v>
      </c>
      <c r="D313" s="1">
        <v>1.37</v>
      </c>
      <c r="E313" s="1">
        <v>0.54</v>
      </c>
      <c r="F313" s="1">
        <v>0.5</v>
      </c>
      <c r="G313" s="1">
        <v>0.66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3">
        <v>134.81538749999999</v>
      </c>
      <c r="AI313" s="3">
        <v>160.05285000000001</v>
      </c>
      <c r="AJ313" s="3">
        <v>3.188326</v>
      </c>
    </row>
    <row r="314" spans="1:36" s="3" customFormat="1" x14ac:dyDescent="0.2">
      <c r="A314" s="6" t="s">
        <v>281</v>
      </c>
      <c r="B314" s="1" t="s">
        <v>627</v>
      </c>
      <c r="C314" s="1">
        <f t="shared" si="4"/>
        <v>94.68</v>
      </c>
      <c r="D314" s="1">
        <v>1.59</v>
      </c>
      <c r="E314" s="1">
        <v>1.59</v>
      </c>
      <c r="F314" s="1">
        <v>1.5</v>
      </c>
      <c r="G314" s="1">
        <v>0.64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3">
        <v>173.96918750000003</v>
      </c>
      <c r="AI314" s="3">
        <v>186.59004999999999</v>
      </c>
      <c r="AJ314" s="3">
        <v>1.3864730000000001</v>
      </c>
    </row>
    <row r="315" spans="1:36" s="3" customFormat="1" x14ac:dyDescent="0.2">
      <c r="A315" s="6" t="s">
        <v>282</v>
      </c>
      <c r="B315" s="1" t="s">
        <v>627</v>
      </c>
      <c r="C315" s="1">
        <f t="shared" si="4"/>
        <v>96.37</v>
      </c>
      <c r="D315" s="1">
        <v>0.85000000000000009</v>
      </c>
      <c r="E315" s="1">
        <v>0.22999999999999998</v>
      </c>
      <c r="F315" s="1">
        <v>1.9299999999999997</v>
      </c>
      <c r="G315" s="1">
        <v>0.62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3">
        <v>139.18572500000002</v>
      </c>
      <c r="AI315" s="3">
        <v>164.36935</v>
      </c>
      <c r="AJ315" s="3">
        <v>1.9543987500000002</v>
      </c>
    </row>
    <row r="316" spans="1:36" s="3" customFormat="1" x14ac:dyDescent="0.2">
      <c r="A316" s="6" t="s">
        <v>283</v>
      </c>
      <c r="B316" s="1" t="s">
        <v>627</v>
      </c>
      <c r="C316" s="1">
        <f t="shared" si="4"/>
        <v>97</v>
      </c>
      <c r="D316" s="1">
        <v>1.59</v>
      </c>
      <c r="E316" s="1">
        <v>0.51</v>
      </c>
      <c r="F316" s="1">
        <v>0.31</v>
      </c>
      <c r="G316" s="1">
        <v>0.59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3">
        <v>141.51407499999999</v>
      </c>
      <c r="AI316" s="3">
        <v>166.213325</v>
      </c>
      <c r="AJ316" s="3">
        <v>3.5387684999999998</v>
      </c>
    </row>
    <row r="317" spans="1:36" s="3" customFormat="1" x14ac:dyDescent="0.2">
      <c r="A317" s="6" t="s">
        <v>284</v>
      </c>
      <c r="B317" s="1" t="s">
        <v>627</v>
      </c>
      <c r="C317" s="1">
        <f t="shared" si="4"/>
        <v>97.09</v>
      </c>
      <c r="D317" s="1">
        <v>1.43</v>
      </c>
      <c r="E317" s="1">
        <v>0.56000000000000005</v>
      </c>
      <c r="F317" s="1">
        <v>0.33</v>
      </c>
      <c r="G317" s="1">
        <v>0.59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>
        <v>123.9</v>
      </c>
      <c r="AI317" s="7">
        <v>150.9</v>
      </c>
      <c r="AJ317" s="7">
        <v>3</v>
      </c>
    </row>
    <row r="318" spans="1:36" s="3" customFormat="1" x14ac:dyDescent="0.2">
      <c r="A318" s="6" t="s">
        <v>285</v>
      </c>
      <c r="B318" s="1" t="s">
        <v>627</v>
      </c>
      <c r="C318" s="1">
        <f t="shared" si="4"/>
        <v>96.79</v>
      </c>
      <c r="D318" s="1">
        <v>0.81999999999999984</v>
      </c>
      <c r="E318" s="1">
        <v>0.28999999999999998</v>
      </c>
      <c r="F318" s="1">
        <v>1.51</v>
      </c>
      <c r="G318" s="1">
        <v>0.59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>
        <v>136.30000000000001</v>
      </c>
      <c r="AI318" s="7">
        <v>172.8</v>
      </c>
      <c r="AJ318" s="7">
        <v>4</v>
      </c>
    </row>
    <row r="319" spans="1:36" s="3" customFormat="1" x14ac:dyDescent="0.2">
      <c r="A319" s="6" t="s">
        <v>286</v>
      </c>
      <c r="B319" s="1" t="s">
        <v>627</v>
      </c>
      <c r="C319" s="1">
        <f t="shared" si="4"/>
        <v>95.27</v>
      </c>
      <c r="D319" s="1">
        <v>3.6699999999999995</v>
      </c>
      <c r="E319" s="1">
        <v>0.26</v>
      </c>
      <c r="F319" s="1">
        <v>0.26</v>
      </c>
      <c r="G319" s="1">
        <v>0.54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>
        <v>151.69999999999999</v>
      </c>
      <c r="AI319" s="7">
        <v>166.6</v>
      </c>
      <c r="AJ319" s="7">
        <v>2.2000000000000002</v>
      </c>
    </row>
    <row r="320" spans="1:36" s="3" customFormat="1" x14ac:dyDescent="0.2">
      <c r="A320" s="3" t="s">
        <v>287</v>
      </c>
      <c r="B320" s="1" t="s">
        <v>627</v>
      </c>
      <c r="C320" s="1">
        <v>94.15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4.3250000000000002</v>
      </c>
      <c r="J320" s="1">
        <v>0</v>
      </c>
      <c r="K320" s="1">
        <v>0</v>
      </c>
      <c r="L320" s="1">
        <v>0</v>
      </c>
      <c r="M320" s="1">
        <v>0</v>
      </c>
      <c r="N320" s="1">
        <v>0.52500000000000002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3">
        <v>135</v>
      </c>
      <c r="AI320" s="3">
        <v>231</v>
      </c>
      <c r="AJ320" s="3">
        <v>11</v>
      </c>
    </row>
    <row r="321" spans="1:36" s="3" customFormat="1" x14ac:dyDescent="0.2">
      <c r="A321" s="3" t="s">
        <v>288</v>
      </c>
      <c r="B321" s="1" t="s">
        <v>627</v>
      </c>
      <c r="C321" s="1">
        <f t="shared" ref="C321:C331" si="5">((100-(D321+E321+F321+G321))/100)*100</f>
        <v>96.59</v>
      </c>
      <c r="D321" s="1">
        <v>1.01</v>
      </c>
      <c r="E321" s="1">
        <v>0.01</v>
      </c>
      <c r="F321" s="1">
        <v>2.39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3">
        <v>152.79939999999999</v>
      </c>
      <c r="AI321" s="3">
        <v>169.02360000000002</v>
      </c>
      <c r="AJ321" s="3">
        <v>2.6351713333333335</v>
      </c>
    </row>
    <row r="322" spans="1:36" s="3" customFormat="1" x14ac:dyDescent="0.2">
      <c r="A322" s="3" t="s">
        <v>289</v>
      </c>
      <c r="B322" s="1" t="s">
        <v>627</v>
      </c>
      <c r="C322" s="1">
        <f t="shared" si="5"/>
        <v>97.29</v>
      </c>
      <c r="D322" s="1">
        <v>0.18</v>
      </c>
      <c r="E322" s="1">
        <v>0.01</v>
      </c>
      <c r="F322" s="1">
        <v>2.52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3">
        <v>136.1634</v>
      </c>
      <c r="AI322" s="3">
        <v>171.64067500000002</v>
      </c>
      <c r="AJ322" s="3">
        <v>3.3021237499999998</v>
      </c>
    </row>
    <row r="323" spans="1:36" s="3" customFormat="1" x14ac:dyDescent="0.2">
      <c r="A323" s="3" t="s">
        <v>290</v>
      </c>
      <c r="B323" s="1" t="s">
        <v>627</v>
      </c>
      <c r="C323" s="1">
        <f t="shared" si="5"/>
        <v>97.42</v>
      </c>
      <c r="D323" s="1">
        <v>0.17</v>
      </c>
      <c r="E323" s="1">
        <v>2.4</v>
      </c>
      <c r="F323" s="1">
        <v>0.01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3">
        <v>134.0848125</v>
      </c>
      <c r="AI323" s="3">
        <v>160.17127500000001</v>
      </c>
      <c r="AJ323" s="3">
        <v>3.7573810000000001</v>
      </c>
    </row>
    <row r="324" spans="1:36" s="3" customFormat="1" x14ac:dyDescent="0.2">
      <c r="A324" s="3" t="s">
        <v>291</v>
      </c>
      <c r="B324" s="1" t="s">
        <v>627</v>
      </c>
      <c r="C324" s="1">
        <f t="shared" si="5"/>
        <v>96.9</v>
      </c>
      <c r="D324" s="1">
        <v>0.01</v>
      </c>
      <c r="E324" s="1">
        <v>0.39</v>
      </c>
      <c r="F324" s="1">
        <v>2.7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3">
        <v>143.45653333333334</v>
      </c>
      <c r="AI324" s="3">
        <v>179.3144666666667</v>
      </c>
      <c r="AJ324" s="3">
        <v>3.6188423333333333</v>
      </c>
    </row>
    <row r="325" spans="1:36" s="3" customFormat="1" x14ac:dyDescent="0.2">
      <c r="A325" s="3" t="s">
        <v>292</v>
      </c>
      <c r="B325" s="1" t="s">
        <v>627</v>
      </c>
      <c r="C325" s="1">
        <f t="shared" si="5"/>
        <v>97.22</v>
      </c>
      <c r="D325" s="1">
        <v>0.01</v>
      </c>
      <c r="E325" s="1">
        <v>0.09</v>
      </c>
      <c r="F325" s="1">
        <v>2.68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3">
        <v>130.3275625</v>
      </c>
      <c r="AI325" s="3">
        <v>164.4487</v>
      </c>
      <c r="AJ325" s="3">
        <v>2.6525807500000003</v>
      </c>
    </row>
    <row r="326" spans="1:36" s="3" customFormat="1" x14ac:dyDescent="0.2">
      <c r="A326" s="3" t="s">
        <v>293</v>
      </c>
      <c r="B326" s="1" t="s">
        <v>627</v>
      </c>
      <c r="C326" s="1">
        <f t="shared" si="5"/>
        <v>97.43</v>
      </c>
      <c r="D326" s="1">
        <v>0.01</v>
      </c>
      <c r="E326" s="1">
        <v>0.01</v>
      </c>
      <c r="F326" s="1">
        <v>2.5499999999999998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3">
        <v>128.37333749999999</v>
      </c>
      <c r="AI326" s="3">
        <v>169.7509</v>
      </c>
      <c r="AJ326" s="3">
        <v>3.3485387499999999</v>
      </c>
    </row>
    <row r="327" spans="1:36" s="3" customFormat="1" x14ac:dyDescent="0.2">
      <c r="A327" s="3" t="s">
        <v>294</v>
      </c>
      <c r="B327" s="1" t="s">
        <v>627</v>
      </c>
      <c r="C327" s="1">
        <f t="shared" si="5"/>
        <v>97.44</v>
      </c>
      <c r="D327" s="1">
        <v>0.01</v>
      </c>
      <c r="E327" s="1">
        <v>0.01</v>
      </c>
      <c r="F327" s="1">
        <v>2.54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3">
        <v>132.12823333333333</v>
      </c>
      <c r="AI327" s="3">
        <v>164.23609999999999</v>
      </c>
      <c r="AJ327" s="3">
        <v>2.8053923333333333</v>
      </c>
    </row>
    <row r="328" spans="1:36" s="3" customFormat="1" x14ac:dyDescent="0.2">
      <c r="A328" s="3" t="s">
        <v>295</v>
      </c>
      <c r="B328" s="1" t="s">
        <v>627</v>
      </c>
      <c r="C328" s="1">
        <f t="shared" si="5"/>
        <v>97.12</v>
      </c>
      <c r="D328" s="1">
        <v>0.01</v>
      </c>
      <c r="E328" s="1">
        <v>0.65</v>
      </c>
      <c r="F328" s="1">
        <v>2.2200000000000002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3">
        <v>144.79116249999998</v>
      </c>
      <c r="AI328" s="3">
        <v>175.46449999999999</v>
      </c>
      <c r="AJ328" s="3">
        <v>3.0501020000000003</v>
      </c>
    </row>
    <row r="329" spans="1:36" s="3" customFormat="1" x14ac:dyDescent="0.2">
      <c r="A329" s="3" t="s">
        <v>296</v>
      </c>
      <c r="B329" s="1" t="s">
        <v>627</v>
      </c>
      <c r="C329" s="1">
        <f t="shared" si="5"/>
        <v>97.03</v>
      </c>
      <c r="D329" s="1">
        <v>0.01</v>
      </c>
      <c r="E329" s="1">
        <v>1.26</v>
      </c>
      <c r="F329" s="1">
        <v>1.7000000000000002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3">
        <v>142.15604999999999</v>
      </c>
      <c r="AI329" s="3">
        <v>172.11044999999999</v>
      </c>
      <c r="AJ329" s="3">
        <v>3.1408144999999998</v>
      </c>
    </row>
    <row r="330" spans="1:36" s="3" customFormat="1" x14ac:dyDescent="0.2">
      <c r="A330" s="3" t="s">
        <v>297</v>
      </c>
      <c r="B330" s="1" t="s">
        <v>627</v>
      </c>
      <c r="C330" s="1">
        <f t="shared" si="5"/>
        <v>96.97</v>
      </c>
      <c r="D330" s="1">
        <v>0.01</v>
      </c>
      <c r="E330" s="1">
        <v>2.4300000000000002</v>
      </c>
      <c r="F330" s="1">
        <v>0.59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3">
        <v>137.72246250000001</v>
      </c>
      <c r="AI330" s="3">
        <v>161.648325</v>
      </c>
      <c r="AJ330" s="3">
        <v>2.476855</v>
      </c>
    </row>
    <row r="331" spans="1:36" s="3" customFormat="1" x14ac:dyDescent="0.2">
      <c r="A331" s="3" t="s">
        <v>298</v>
      </c>
      <c r="B331" s="1" t="s">
        <v>627</v>
      </c>
      <c r="C331" s="1">
        <f t="shared" si="5"/>
        <v>97.51</v>
      </c>
      <c r="D331" s="1">
        <v>0.01</v>
      </c>
      <c r="E331" s="1">
        <v>2.4700000000000002</v>
      </c>
      <c r="F331" s="1">
        <v>0.01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3">
        <v>129.56207499999999</v>
      </c>
      <c r="AI331" s="3">
        <v>153.65809999999999</v>
      </c>
      <c r="AJ331" s="3">
        <v>3.0044507500000002</v>
      </c>
    </row>
    <row r="332" spans="1:36" s="3" customFormat="1" x14ac:dyDescent="0.2">
      <c r="A332" s="3" t="s">
        <v>299</v>
      </c>
      <c r="B332" s="1" t="s">
        <v>626</v>
      </c>
      <c r="C332" s="1">
        <v>98.54</v>
      </c>
      <c r="D332" s="1">
        <v>0</v>
      </c>
      <c r="E332" s="1">
        <v>0.43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1.03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3">
        <v>142.80000000000001</v>
      </c>
      <c r="AI332" s="3">
        <v>266.5</v>
      </c>
      <c r="AJ332" s="3">
        <v>15.4</v>
      </c>
    </row>
    <row r="333" spans="1:36" s="3" customFormat="1" x14ac:dyDescent="0.2">
      <c r="A333" s="3" t="s">
        <v>300</v>
      </c>
      <c r="B333" s="1" t="s">
        <v>628</v>
      </c>
      <c r="C333" s="1">
        <v>84.65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1.2</v>
      </c>
      <c r="J333" s="1">
        <v>0</v>
      </c>
      <c r="K333" s="1">
        <v>0</v>
      </c>
      <c r="L333" s="1">
        <v>0</v>
      </c>
      <c r="M333" s="1">
        <v>0</v>
      </c>
      <c r="N333" s="1">
        <v>0.15</v>
      </c>
      <c r="O333" s="1">
        <v>0</v>
      </c>
      <c r="P333" s="1">
        <v>0</v>
      </c>
      <c r="Q333" s="1">
        <v>0</v>
      </c>
      <c r="R333" s="1">
        <v>0</v>
      </c>
      <c r="S333" s="1">
        <v>14.000000000000002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3">
        <v>95</v>
      </c>
      <c r="AI333" s="3">
        <v>115</v>
      </c>
      <c r="AJ333" s="3">
        <v>10</v>
      </c>
    </row>
    <row r="334" spans="1:36" s="3" customFormat="1" x14ac:dyDescent="0.2">
      <c r="A334" s="3" t="s">
        <v>301</v>
      </c>
      <c r="B334" s="1" t="s">
        <v>626</v>
      </c>
      <c r="C334" s="1">
        <v>91.39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5.07</v>
      </c>
      <c r="J334" s="1">
        <v>3.54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3">
        <v>470</v>
      </c>
      <c r="AI334" s="3">
        <v>493</v>
      </c>
      <c r="AJ334" s="3">
        <v>7.2</v>
      </c>
    </row>
    <row r="335" spans="1:36" s="3" customFormat="1" x14ac:dyDescent="0.2">
      <c r="A335" s="1" t="s">
        <v>302</v>
      </c>
      <c r="B335" s="1" t="s">
        <v>626</v>
      </c>
      <c r="C335" s="1">
        <v>86.6</v>
      </c>
      <c r="D335" s="1">
        <v>1.66</v>
      </c>
      <c r="E335" s="1">
        <v>2.9</v>
      </c>
      <c r="F335" s="1">
        <v>2.67</v>
      </c>
      <c r="G335" s="1">
        <v>0.57999999999999996</v>
      </c>
      <c r="H335" s="1">
        <v>0</v>
      </c>
      <c r="I335" s="1">
        <v>5.28</v>
      </c>
      <c r="J335" s="1">
        <v>0</v>
      </c>
      <c r="K335" s="1">
        <v>0</v>
      </c>
      <c r="L335" s="1">
        <v>0</v>
      </c>
      <c r="M335" s="1">
        <v>0</v>
      </c>
      <c r="N335" s="1">
        <v>0.12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0.19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84</v>
      </c>
      <c r="AI335" s="1">
        <v>156</v>
      </c>
      <c r="AJ335" s="1">
        <v>5.6</v>
      </c>
    </row>
    <row r="336" spans="1:36" s="3" customFormat="1" x14ac:dyDescent="0.2">
      <c r="A336" s="3" t="s">
        <v>64</v>
      </c>
      <c r="B336" s="1" t="s">
        <v>626</v>
      </c>
      <c r="C336" s="1">
        <v>92.7</v>
      </c>
      <c r="D336" s="1">
        <v>2.2799999999999998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0.45000000000000007</v>
      </c>
      <c r="L336" s="1">
        <v>0</v>
      </c>
      <c r="M336" s="1">
        <v>0</v>
      </c>
      <c r="N336" s="1">
        <v>0</v>
      </c>
      <c r="O336" s="1">
        <v>4.1100000000000003</v>
      </c>
      <c r="P336" s="1">
        <v>0.19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0.27</v>
      </c>
      <c r="AE336" s="1">
        <v>0</v>
      </c>
      <c r="AF336" s="1">
        <v>0</v>
      </c>
      <c r="AG336" s="1">
        <v>0</v>
      </c>
      <c r="AH336" s="3">
        <v>447</v>
      </c>
      <c r="AI336" s="3">
        <v>447</v>
      </c>
      <c r="AJ336" s="3">
        <v>4.4000000000000004</v>
      </c>
    </row>
    <row r="337" spans="1:36" s="3" customFormat="1" x14ac:dyDescent="0.2">
      <c r="A337" s="1" t="s">
        <v>118</v>
      </c>
      <c r="B337" s="1" t="s">
        <v>625</v>
      </c>
      <c r="C337" s="1">
        <v>88.7</v>
      </c>
      <c r="D337" s="1">
        <v>0</v>
      </c>
      <c r="E337" s="1">
        <v>0</v>
      </c>
      <c r="F337" s="1">
        <v>0</v>
      </c>
      <c r="G337" s="1">
        <v>1</v>
      </c>
      <c r="H337" s="1">
        <v>0</v>
      </c>
      <c r="I337" s="1">
        <v>9.6999999999999993</v>
      </c>
      <c r="J337" s="1">
        <v>0</v>
      </c>
      <c r="K337" s="1">
        <v>0</v>
      </c>
      <c r="L337" s="1">
        <v>0</v>
      </c>
      <c r="M337" s="1">
        <v>0</v>
      </c>
      <c r="N337" s="1">
        <v>0.5</v>
      </c>
      <c r="O337" s="1">
        <v>0</v>
      </c>
      <c r="P337" s="1">
        <v>0</v>
      </c>
      <c r="Q337" s="1">
        <v>0</v>
      </c>
      <c r="R337" s="1">
        <v>0.1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95</v>
      </c>
      <c r="AI337" s="1">
        <v>140</v>
      </c>
      <c r="AJ337" s="1">
        <v>33</v>
      </c>
    </row>
    <row r="338" spans="1:36" s="3" customFormat="1" x14ac:dyDescent="0.2">
      <c r="A338" s="1" t="s">
        <v>37</v>
      </c>
      <c r="B338" s="1" t="s">
        <v>627</v>
      </c>
      <c r="C338" s="1">
        <v>88</v>
      </c>
      <c r="D338" s="1">
        <v>0</v>
      </c>
      <c r="E338" s="1">
        <v>0</v>
      </c>
      <c r="F338" s="1">
        <v>0</v>
      </c>
      <c r="G338" s="1">
        <v>0.8</v>
      </c>
      <c r="H338" s="1">
        <v>0</v>
      </c>
      <c r="I338" s="1">
        <v>9</v>
      </c>
      <c r="J338" s="1">
        <v>0</v>
      </c>
      <c r="K338" s="1">
        <v>0</v>
      </c>
      <c r="L338" s="1">
        <v>0</v>
      </c>
      <c r="M338" s="1">
        <v>0</v>
      </c>
      <c r="N338" s="1">
        <v>0.2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2</v>
      </c>
      <c r="AH338" s="1">
        <v>184</v>
      </c>
      <c r="AI338" s="1">
        <v>265</v>
      </c>
      <c r="AJ338" s="1">
        <v>4.4000000000000004</v>
      </c>
    </row>
    <row r="339" spans="1:36" s="3" customFormat="1" x14ac:dyDescent="0.2">
      <c r="A339" s="1" t="s">
        <v>37</v>
      </c>
      <c r="B339" s="1" t="s">
        <v>627</v>
      </c>
      <c r="C339" s="1">
        <v>89</v>
      </c>
      <c r="D339" s="1">
        <v>0</v>
      </c>
      <c r="E339" s="1">
        <v>0</v>
      </c>
      <c r="F339" s="1">
        <v>0</v>
      </c>
      <c r="G339" s="1">
        <v>0.8</v>
      </c>
      <c r="H339" s="1">
        <v>0</v>
      </c>
      <c r="I339" s="1">
        <v>9</v>
      </c>
      <c r="J339" s="1">
        <v>0</v>
      </c>
      <c r="K339" s="1">
        <v>0</v>
      </c>
      <c r="L339" s="1">
        <v>0</v>
      </c>
      <c r="M339" s="1">
        <v>0</v>
      </c>
      <c r="N339" s="1">
        <v>0.2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  <c r="AH339" s="1">
        <v>166</v>
      </c>
      <c r="AI339" s="1">
        <v>250</v>
      </c>
      <c r="AJ339" s="1">
        <v>4.5999999999999996</v>
      </c>
    </row>
    <row r="340" spans="1:36" s="3" customFormat="1" x14ac:dyDescent="0.2">
      <c r="A340" s="1" t="s">
        <v>37</v>
      </c>
      <c r="B340" s="1" t="s">
        <v>627</v>
      </c>
      <c r="C340" s="1">
        <v>89.5</v>
      </c>
      <c r="D340" s="1">
        <v>0</v>
      </c>
      <c r="E340" s="1">
        <v>0</v>
      </c>
      <c r="F340" s="1">
        <v>0</v>
      </c>
      <c r="G340" s="1">
        <v>0.8</v>
      </c>
      <c r="H340" s="1">
        <v>0</v>
      </c>
      <c r="I340" s="1">
        <v>9</v>
      </c>
      <c r="J340" s="1">
        <v>0</v>
      </c>
      <c r="K340" s="1">
        <v>0</v>
      </c>
      <c r="L340" s="1">
        <v>0</v>
      </c>
      <c r="M340" s="1">
        <v>0</v>
      </c>
      <c r="N340" s="1">
        <v>0.2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0.5</v>
      </c>
      <c r="AH340" s="1">
        <v>132</v>
      </c>
      <c r="AI340" s="1">
        <v>232</v>
      </c>
      <c r="AJ340" s="1">
        <v>4.7</v>
      </c>
    </row>
    <row r="341" spans="1:36" s="3" customFormat="1" x14ac:dyDescent="0.2">
      <c r="A341" s="1" t="s">
        <v>303</v>
      </c>
      <c r="B341" s="1" t="s">
        <v>627</v>
      </c>
      <c r="C341" s="1">
        <v>92.5</v>
      </c>
      <c r="D341" s="1">
        <v>0.5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3</v>
      </c>
      <c r="L341" s="1">
        <v>0</v>
      </c>
      <c r="M341" s="1">
        <v>0</v>
      </c>
      <c r="N341" s="1">
        <v>0</v>
      </c>
      <c r="O341" s="1">
        <v>4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132</v>
      </c>
      <c r="AI341" s="1">
        <v>190</v>
      </c>
      <c r="AJ341" s="1">
        <v>6.5</v>
      </c>
    </row>
    <row r="342" spans="1:36" s="3" customFormat="1" x14ac:dyDescent="0.2">
      <c r="A342" s="1" t="s">
        <v>303</v>
      </c>
      <c r="B342" s="1" t="s">
        <v>626</v>
      </c>
      <c r="C342" s="1">
        <v>92.5</v>
      </c>
      <c r="D342" s="1">
        <v>0.5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3</v>
      </c>
      <c r="L342" s="1">
        <v>0</v>
      </c>
      <c r="M342" s="1">
        <v>0</v>
      </c>
      <c r="N342" s="1">
        <v>0</v>
      </c>
      <c r="O342" s="1">
        <v>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200</v>
      </c>
      <c r="AI342" s="1">
        <v>260</v>
      </c>
      <c r="AJ342" s="1">
        <v>12</v>
      </c>
    </row>
    <row r="343" spans="1:36" s="3" customFormat="1" x14ac:dyDescent="0.2">
      <c r="A343" s="3" t="s">
        <v>304</v>
      </c>
      <c r="B343" s="1" t="s">
        <v>625</v>
      </c>
      <c r="C343" s="1">
        <v>98.5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1.5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3">
        <v>70</v>
      </c>
      <c r="AI343" s="3">
        <v>200</v>
      </c>
      <c r="AJ343" s="3">
        <v>4</v>
      </c>
    </row>
    <row r="344" spans="1:36" s="3" customFormat="1" x14ac:dyDescent="0.2">
      <c r="A344" s="3" t="s">
        <v>304</v>
      </c>
      <c r="B344" s="1" t="s">
        <v>626</v>
      </c>
      <c r="C344" s="1">
        <v>98.5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1.5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3">
        <v>130</v>
      </c>
      <c r="AI344" s="3">
        <v>230</v>
      </c>
      <c r="AJ344" s="3">
        <v>4</v>
      </c>
    </row>
    <row r="345" spans="1:36" s="3" customFormat="1" x14ac:dyDescent="0.2">
      <c r="A345" s="3" t="s">
        <v>304</v>
      </c>
      <c r="B345" s="1" t="s">
        <v>628</v>
      </c>
      <c r="C345" s="1">
        <v>98.5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1.5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3">
        <v>105</v>
      </c>
      <c r="AI345" s="3">
        <v>200</v>
      </c>
      <c r="AJ345" s="3">
        <v>4</v>
      </c>
    </row>
    <row r="346" spans="1:36" s="3" customFormat="1" x14ac:dyDescent="0.2">
      <c r="A346" s="1" t="s">
        <v>242</v>
      </c>
      <c r="B346" s="1" t="s">
        <v>625</v>
      </c>
      <c r="C346" s="1">
        <v>90.5</v>
      </c>
      <c r="D346" s="1">
        <v>1</v>
      </c>
      <c r="E346" s="1">
        <v>1</v>
      </c>
      <c r="F346" s="1">
        <v>1</v>
      </c>
      <c r="G346" s="1">
        <v>0</v>
      </c>
      <c r="H346" s="1">
        <v>0</v>
      </c>
      <c r="I346" s="1">
        <v>0</v>
      </c>
      <c r="J346" s="1">
        <v>0</v>
      </c>
      <c r="K346" s="1">
        <v>1</v>
      </c>
      <c r="L346" s="1">
        <v>0</v>
      </c>
      <c r="M346" s="1">
        <v>0</v>
      </c>
      <c r="N346" s="1">
        <v>0</v>
      </c>
      <c r="O346" s="1">
        <v>5.5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170</v>
      </c>
      <c r="AI346" s="1">
        <v>225</v>
      </c>
      <c r="AJ346" s="1">
        <v>7.5</v>
      </c>
    </row>
    <row r="347" spans="1:36" s="3" customFormat="1" x14ac:dyDescent="0.2">
      <c r="A347" s="3" t="s">
        <v>305</v>
      </c>
      <c r="B347" s="1" t="s">
        <v>626</v>
      </c>
      <c r="C347" s="1">
        <v>93.2</v>
      </c>
      <c r="D347" s="1">
        <v>0</v>
      </c>
      <c r="E347" s="1">
        <v>0</v>
      </c>
      <c r="F347" s="1">
        <v>0</v>
      </c>
      <c r="G347" s="1">
        <v>6</v>
      </c>
      <c r="H347" s="1">
        <v>0</v>
      </c>
      <c r="I347" s="1">
        <v>0</v>
      </c>
      <c r="J347" s="1">
        <v>0</v>
      </c>
      <c r="K347" s="1">
        <v>0.8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3">
        <v>210</v>
      </c>
      <c r="AI347" s="3">
        <v>285</v>
      </c>
      <c r="AJ347" s="3">
        <v>6</v>
      </c>
    </row>
    <row r="348" spans="1:36" s="3" customFormat="1" x14ac:dyDescent="0.2">
      <c r="A348" s="3" t="s">
        <v>305</v>
      </c>
      <c r="B348" s="1" t="s">
        <v>625</v>
      </c>
      <c r="C348" s="1">
        <v>93.2</v>
      </c>
      <c r="D348" s="1">
        <v>0</v>
      </c>
      <c r="E348" s="1">
        <v>0</v>
      </c>
      <c r="F348" s="1">
        <v>0</v>
      </c>
      <c r="G348" s="1">
        <v>6</v>
      </c>
      <c r="H348" s="1">
        <v>0</v>
      </c>
      <c r="I348" s="1">
        <v>0</v>
      </c>
      <c r="J348" s="1">
        <v>0</v>
      </c>
      <c r="K348" s="1">
        <v>0.8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3">
        <v>240</v>
      </c>
      <c r="AI348" s="3">
        <v>305</v>
      </c>
      <c r="AJ348" s="3">
        <v>4</v>
      </c>
    </row>
    <row r="349" spans="1:36" s="3" customFormat="1" x14ac:dyDescent="0.2">
      <c r="A349" s="3" t="s">
        <v>305</v>
      </c>
      <c r="B349" s="1" t="s">
        <v>628</v>
      </c>
      <c r="C349" s="1">
        <v>93.2</v>
      </c>
      <c r="D349" s="1">
        <v>0</v>
      </c>
      <c r="E349" s="1">
        <v>0</v>
      </c>
      <c r="F349" s="1">
        <v>0</v>
      </c>
      <c r="G349" s="1">
        <v>6</v>
      </c>
      <c r="H349" s="1">
        <v>0</v>
      </c>
      <c r="I349" s="1">
        <v>0</v>
      </c>
      <c r="J349" s="1">
        <v>0</v>
      </c>
      <c r="K349" s="1">
        <v>0.8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3">
        <v>160</v>
      </c>
      <c r="AI349" s="3">
        <v>275</v>
      </c>
      <c r="AJ349" s="3">
        <v>7</v>
      </c>
    </row>
    <row r="350" spans="1:36" s="1" customFormat="1" x14ac:dyDescent="0.2">
      <c r="A350" s="1" t="s">
        <v>621</v>
      </c>
      <c r="B350" s="1" t="s">
        <v>626</v>
      </c>
      <c r="C350" s="1">
        <v>93.16</v>
      </c>
      <c r="D350" s="1">
        <v>1.01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0.74</v>
      </c>
      <c r="L350" s="1">
        <v>0</v>
      </c>
      <c r="M350" s="1">
        <v>0</v>
      </c>
      <c r="N350" s="1">
        <v>0</v>
      </c>
      <c r="O350" s="1">
        <v>5.08</v>
      </c>
      <c r="P350" s="1">
        <v>0</v>
      </c>
      <c r="Q350" s="1">
        <v>0</v>
      </c>
      <c r="R350" s="1">
        <v>0.01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216</v>
      </c>
      <c r="AI350" s="1">
        <v>273</v>
      </c>
      <c r="AJ350" s="1">
        <v>24.2</v>
      </c>
    </row>
    <row r="351" spans="1:36" s="3" customFormat="1" x14ac:dyDescent="0.2">
      <c r="A351" s="3" t="s">
        <v>306</v>
      </c>
      <c r="B351" s="1" t="s">
        <v>627</v>
      </c>
      <c r="C351" s="1">
        <v>92.315495810000002</v>
      </c>
      <c r="D351" s="1">
        <v>1.7752980000000003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0.71011919999999995</v>
      </c>
      <c r="L351" s="1">
        <v>0</v>
      </c>
      <c r="M351" s="1">
        <v>0</v>
      </c>
      <c r="N351" s="1">
        <v>0</v>
      </c>
      <c r="O351" s="1">
        <v>5.1990869899999996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3">
        <v>205</v>
      </c>
      <c r="AI351" s="3">
        <v>280</v>
      </c>
      <c r="AJ351" s="3">
        <v>4</v>
      </c>
    </row>
    <row r="352" spans="1:36" s="3" customFormat="1" x14ac:dyDescent="0.2">
      <c r="A352" s="3" t="s">
        <v>307</v>
      </c>
      <c r="B352" s="1" t="s">
        <v>625</v>
      </c>
      <c r="C352" s="1">
        <v>92.315495810000002</v>
      </c>
      <c r="D352" s="1">
        <v>1.7752980000000003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0.71011919999999995</v>
      </c>
      <c r="L352" s="1">
        <v>0</v>
      </c>
      <c r="M352" s="1">
        <v>0</v>
      </c>
      <c r="N352" s="1">
        <v>0</v>
      </c>
      <c r="O352" s="1">
        <v>5.1990869899999996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3">
        <v>207.5</v>
      </c>
      <c r="AI352" s="3">
        <v>285</v>
      </c>
      <c r="AJ352" s="3">
        <v>4</v>
      </c>
    </row>
    <row r="353" spans="1:36" s="3" customFormat="1" x14ac:dyDescent="0.2">
      <c r="A353" s="3" t="s">
        <v>308</v>
      </c>
      <c r="B353" s="1" t="s">
        <v>625</v>
      </c>
      <c r="C353" s="1">
        <v>92.972699700000007</v>
      </c>
      <c r="D353" s="1">
        <v>2.2750252799999999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0.70778563999999999</v>
      </c>
      <c r="L353" s="1">
        <v>0</v>
      </c>
      <c r="M353" s="1">
        <v>0</v>
      </c>
      <c r="N353" s="1">
        <v>0</v>
      </c>
      <c r="O353" s="1">
        <v>4.0444893799999999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3">
        <v>182</v>
      </c>
      <c r="AI353" s="3">
        <v>270.5</v>
      </c>
      <c r="AJ353" s="3">
        <v>9.5</v>
      </c>
    </row>
    <row r="354" spans="1:36" s="3" customFormat="1" x14ac:dyDescent="0.2">
      <c r="A354" s="3" t="s">
        <v>309</v>
      </c>
      <c r="B354" s="1" t="s">
        <v>625</v>
      </c>
      <c r="C354" s="1">
        <v>93.784461149999998</v>
      </c>
      <c r="D354" s="1">
        <v>0.27568922000000001</v>
      </c>
      <c r="E354" s="1">
        <v>0.65162907000000003</v>
      </c>
      <c r="F354" s="1">
        <v>0.32581453999999999</v>
      </c>
      <c r="G354" s="1">
        <v>4.2606516299999999</v>
      </c>
      <c r="H354" s="1">
        <v>0</v>
      </c>
      <c r="I354" s="1">
        <v>0</v>
      </c>
      <c r="J354" s="1">
        <v>0</v>
      </c>
      <c r="K354" s="1">
        <v>0.70175438999999995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3">
        <v>127.5</v>
      </c>
      <c r="AI354" s="3">
        <v>188.5</v>
      </c>
      <c r="AJ354" s="3">
        <v>2.16</v>
      </c>
    </row>
    <row r="355" spans="1:36" s="3" customFormat="1" x14ac:dyDescent="0.2">
      <c r="A355" s="3" t="s">
        <v>310</v>
      </c>
      <c r="B355" s="1" t="s">
        <v>625</v>
      </c>
      <c r="C355" s="1">
        <v>94.639278559999994</v>
      </c>
      <c r="D355" s="1">
        <v>0.50100199999999995</v>
      </c>
      <c r="E355" s="1">
        <v>1.1523046100000001</v>
      </c>
      <c r="F355" s="1">
        <v>0.50100199999999995</v>
      </c>
      <c r="G355" s="1">
        <v>0</v>
      </c>
      <c r="H355" s="1">
        <v>0</v>
      </c>
      <c r="I355" s="1">
        <v>0</v>
      </c>
      <c r="J355" s="1">
        <v>0</v>
      </c>
      <c r="K355" s="1">
        <v>0.70140281000000004</v>
      </c>
      <c r="L355" s="1">
        <v>2.5050100199999998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3">
        <v>165.5</v>
      </c>
      <c r="AI355" s="3">
        <v>234.5</v>
      </c>
      <c r="AJ355" s="3">
        <v>2.5</v>
      </c>
    </row>
    <row r="356" spans="1:36" s="3" customFormat="1" x14ac:dyDescent="0.2">
      <c r="A356" s="3" t="s">
        <v>311</v>
      </c>
      <c r="B356" s="1" t="s">
        <v>627</v>
      </c>
      <c r="C356" s="1">
        <v>95.469336659999996</v>
      </c>
      <c r="D356" s="1">
        <v>0.50062578000000002</v>
      </c>
      <c r="E356" s="1">
        <v>1.1514393000000001</v>
      </c>
      <c r="F356" s="1">
        <v>0.60075093999999996</v>
      </c>
      <c r="G356" s="1">
        <v>0</v>
      </c>
      <c r="H356" s="1">
        <v>0</v>
      </c>
      <c r="I356" s="1">
        <v>0</v>
      </c>
      <c r="J356" s="1">
        <v>0</v>
      </c>
      <c r="K356" s="1">
        <v>0.7008761</v>
      </c>
      <c r="L356" s="1">
        <v>1.50187735</v>
      </c>
      <c r="M356" s="1">
        <v>0</v>
      </c>
      <c r="N356" s="1">
        <v>0</v>
      </c>
      <c r="O356" s="1">
        <v>0</v>
      </c>
      <c r="P356" s="1">
        <v>0</v>
      </c>
      <c r="Q356" s="1">
        <v>7.5093869999999993E-2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3">
        <v>195</v>
      </c>
      <c r="AI356" s="3">
        <v>258.5</v>
      </c>
      <c r="AJ356" s="3">
        <v>4</v>
      </c>
    </row>
    <row r="357" spans="1:36" s="3" customFormat="1" x14ac:dyDescent="0.2">
      <c r="A357" s="3" t="s">
        <v>312</v>
      </c>
      <c r="B357" s="1" t="s">
        <v>625</v>
      </c>
      <c r="C357" s="1">
        <v>91.3</v>
      </c>
      <c r="D357" s="1">
        <v>0.5</v>
      </c>
      <c r="E357" s="1">
        <v>1</v>
      </c>
      <c r="F357" s="1">
        <v>0.5</v>
      </c>
      <c r="G357" s="1">
        <v>6</v>
      </c>
      <c r="H357" s="1">
        <v>0</v>
      </c>
      <c r="I357" s="1">
        <v>0</v>
      </c>
      <c r="J357" s="1">
        <v>0</v>
      </c>
      <c r="K357" s="1">
        <v>0.7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3">
        <v>94</v>
      </c>
      <c r="AI357" s="3">
        <v>173</v>
      </c>
      <c r="AJ357" s="3">
        <v>3.8</v>
      </c>
    </row>
    <row r="358" spans="1:36" s="3" customFormat="1" x14ac:dyDescent="0.2">
      <c r="A358" s="3" t="s">
        <v>313</v>
      </c>
      <c r="B358" s="1" t="s">
        <v>625</v>
      </c>
      <c r="C358" s="1">
        <v>91.3</v>
      </c>
      <c r="D358" s="1">
        <v>0.5</v>
      </c>
      <c r="E358" s="1">
        <v>1</v>
      </c>
      <c r="F358" s="1">
        <v>0.5</v>
      </c>
      <c r="G358" s="1">
        <v>6</v>
      </c>
      <c r="H358" s="1">
        <v>0</v>
      </c>
      <c r="I358" s="1">
        <v>0</v>
      </c>
      <c r="J358" s="1">
        <v>0</v>
      </c>
      <c r="K358" s="1">
        <v>0.7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3">
        <v>181</v>
      </c>
      <c r="AI358" s="3">
        <v>306</v>
      </c>
      <c r="AJ358" s="3">
        <v>12</v>
      </c>
    </row>
    <row r="359" spans="1:36" s="3" customFormat="1" x14ac:dyDescent="0.2">
      <c r="A359" s="3" t="s">
        <v>305</v>
      </c>
      <c r="B359" s="1" t="s">
        <v>625</v>
      </c>
      <c r="C359" s="1">
        <v>93.3</v>
      </c>
      <c r="D359" s="1">
        <v>0</v>
      </c>
      <c r="E359" s="1">
        <v>0</v>
      </c>
      <c r="F359" s="1">
        <v>0</v>
      </c>
      <c r="G359" s="1">
        <v>6</v>
      </c>
      <c r="H359" s="1">
        <v>0</v>
      </c>
      <c r="I359" s="1">
        <v>0</v>
      </c>
      <c r="J359" s="1">
        <v>0</v>
      </c>
      <c r="K359" s="1">
        <v>0.7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3">
        <v>175</v>
      </c>
      <c r="AI359" s="3">
        <v>275</v>
      </c>
      <c r="AJ359" s="3">
        <v>5</v>
      </c>
    </row>
    <row r="360" spans="1:36" s="3" customFormat="1" x14ac:dyDescent="0.2">
      <c r="A360" s="3" t="s">
        <v>305</v>
      </c>
      <c r="B360" s="1" t="s">
        <v>625</v>
      </c>
      <c r="C360" s="1">
        <v>93.3</v>
      </c>
      <c r="D360" s="1">
        <v>0</v>
      </c>
      <c r="E360" s="1">
        <v>0</v>
      </c>
      <c r="F360" s="1">
        <v>0</v>
      </c>
      <c r="G360" s="1">
        <v>6</v>
      </c>
      <c r="H360" s="1">
        <v>0</v>
      </c>
      <c r="I360" s="1">
        <v>0</v>
      </c>
      <c r="J360" s="1">
        <v>0</v>
      </c>
      <c r="K360" s="1">
        <v>0.7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3">
        <v>186</v>
      </c>
      <c r="AI360" s="3">
        <v>271</v>
      </c>
      <c r="AJ360" s="3">
        <v>3.5</v>
      </c>
    </row>
    <row r="361" spans="1:36" s="3" customFormat="1" x14ac:dyDescent="0.2">
      <c r="A361" s="3" t="s">
        <v>305</v>
      </c>
      <c r="B361" s="1" t="s">
        <v>625</v>
      </c>
      <c r="C361" s="1">
        <v>93.3</v>
      </c>
      <c r="D361" s="1">
        <v>0</v>
      </c>
      <c r="E361" s="1">
        <v>0</v>
      </c>
      <c r="F361" s="1">
        <v>0</v>
      </c>
      <c r="G361" s="1">
        <v>6</v>
      </c>
      <c r="H361" s="1">
        <v>0</v>
      </c>
      <c r="I361" s="1">
        <v>0</v>
      </c>
      <c r="J361" s="1">
        <v>0</v>
      </c>
      <c r="K361" s="1">
        <v>0.7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3">
        <v>183</v>
      </c>
      <c r="AI361" s="3">
        <v>252</v>
      </c>
      <c r="AJ361" s="3">
        <v>2.5</v>
      </c>
    </row>
    <row r="362" spans="1:36" s="3" customFormat="1" x14ac:dyDescent="0.2">
      <c r="A362" s="3" t="s">
        <v>314</v>
      </c>
      <c r="B362" s="1" t="s">
        <v>625</v>
      </c>
      <c r="C362" s="1">
        <v>94.8</v>
      </c>
      <c r="D362" s="1">
        <v>0</v>
      </c>
      <c r="E362" s="1">
        <v>0</v>
      </c>
      <c r="F362" s="1">
        <v>0</v>
      </c>
      <c r="G362" s="1">
        <v>4.5</v>
      </c>
      <c r="H362" s="1">
        <v>0</v>
      </c>
      <c r="I362" s="1">
        <v>0</v>
      </c>
      <c r="J362" s="1">
        <v>0</v>
      </c>
      <c r="K362" s="1">
        <v>0.7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3">
        <v>140</v>
      </c>
      <c r="AI362" s="3">
        <v>235</v>
      </c>
      <c r="AJ362" s="3">
        <v>5</v>
      </c>
    </row>
    <row r="363" spans="1:36" s="3" customFormat="1" x14ac:dyDescent="0.2">
      <c r="A363" s="3" t="s">
        <v>315</v>
      </c>
      <c r="B363" s="1" t="s">
        <v>625</v>
      </c>
      <c r="C363" s="1">
        <v>93.8</v>
      </c>
      <c r="D363" s="1">
        <v>0.3</v>
      </c>
      <c r="E363" s="1">
        <v>0.7</v>
      </c>
      <c r="F363" s="1">
        <v>0.3</v>
      </c>
      <c r="G363" s="1">
        <v>4.2</v>
      </c>
      <c r="H363" s="1">
        <v>0</v>
      </c>
      <c r="I363" s="1">
        <v>0</v>
      </c>
      <c r="J363" s="1">
        <v>0</v>
      </c>
      <c r="K363" s="1">
        <v>0.7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3">
        <v>135</v>
      </c>
      <c r="AI363" s="3">
        <v>180</v>
      </c>
      <c r="AJ363" s="3">
        <v>2</v>
      </c>
    </row>
    <row r="364" spans="1:36" s="3" customFormat="1" x14ac:dyDescent="0.2">
      <c r="A364" s="3" t="s">
        <v>316</v>
      </c>
      <c r="B364" s="1" t="s">
        <v>625</v>
      </c>
      <c r="C364" s="1">
        <v>83.6</v>
      </c>
      <c r="D364" s="1">
        <v>0</v>
      </c>
      <c r="E364" s="1">
        <v>0</v>
      </c>
      <c r="F364" s="1">
        <v>0</v>
      </c>
      <c r="G364" s="1">
        <v>0.7</v>
      </c>
      <c r="H364" s="1">
        <v>0</v>
      </c>
      <c r="I364" s="1">
        <v>0</v>
      </c>
      <c r="J364" s="1">
        <v>0</v>
      </c>
      <c r="K364" s="1">
        <v>0.7</v>
      </c>
      <c r="L364" s="1">
        <v>0</v>
      </c>
      <c r="M364" s="1">
        <v>0</v>
      </c>
      <c r="N364" s="1">
        <v>0</v>
      </c>
      <c r="O364" s="1">
        <v>3.8</v>
      </c>
      <c r="P364" s="1">
        <v>11.2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3">
        <v>300</v>
      </c>
      <c r="AI364" s="3">
        <v>310</v>
      </c>
      <c r="AJ364" s="3">
        <v>2</v>
      </c>
    </row>
    <row r="365" spans="1:36" s="3" customFormat="1" x14ac:dyDescent="0.2">
      <c r="A365" s="1" t="s">
        <v>317</v>
      </c>
      <c r="B365" s="1" t="s">
        <v>626</v>
      </c>
      <c r="C365" s="1">
        <v>91.82</v>
      </c>
      <c r="D365" s="1">
        <v>2.63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0.7</v>
      </c>
      <c r="L365" s="1">
        <v>0</v>
      </c>
      <c r="M365" s="1">
        <v>0</v>
      </c>
      <c r="N365" s="1">
        <v>0</v>
      </c>
      <c r="O365" s="1">
        <v>4.84</v>
      </c>
      <c r="P365" s="1">
        <v>0</v>
      </c>
      <c r="Q365" s="1">
        <v>0</v>
      </c>
      <c r="R365" s="1">
        <v>0.01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233</v>
      </c>
      <c r="AI365" s="1">
        <v>285</v>
      </c>
      <c r="AJ365" s="1">
        <v>4.7</v>
      </c>
    </row>
    <row r="366" spans="1:36" s="3" customFormat="1" x14ac:dyDescent="0.2">
      <c r="A366" s="3" t="s">
        <v>318</v>
      </c>
      <c r="B366" s="1" t="s">
        <v>625</v>
      </c>
      <c r="C366" s="1">
        <v>84.2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0.7</v>
      </c>
      <c r="L366" s="1">
        <v>0</v>
      </c>
      <c r="M366" s="1">
        <v>0</v>
      </c>
      <c r="N366" s="1">
        <v>0</v>
      </c>
      <c r="O366" s="1">
        <v>3.8</v>
      </c>
      <c r="P366" s="1">
        <v>11.3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3">
        <v>300</v>
      </c>
      <c r="AI366" s="3">
        <v>330</v>
      </c>
      <c r="AJ366" s="3">
        <v>2</v>
      </c>
    </row>
    <row r="367" spans="1:36" s="3" customFormat="1" x14ac:dyDescent="0.2">
      <c r="A367" s="3" t="s">
        <v>319</v>
      </c>
      <c r="B367" s="1" t="s">
        <v>625</v>
      </c>
      <c r="C367" s="1">
        <v>94.3</v>
      </c>
      <c r="D367" s="1">
        <v>2.5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0.7</v>
      </c>
      <c r="L367" s="1">
        <v>2.5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3">
        <v>185</v>
      </c>
      <c r="AI367" s="3">
        <v>240</v>
      </c>
      <c r="AJ367" s="3">
        <v>2</v>
      </c>
    </row>
    <row r="368" spans="1:36" s="3" customFormat="1" x14ac:dyDescent="0.2">
      <c r="A368" s="3" t="s">
        <v>320</v>
      </c>
      <c r="B368" s="1" t="s">
        <v>626</v>
      </c>
      <c r="C368" s="1">
        <v>82.07</v>
      </c>
      <c r="D368" s="1">
        <v>0</v>
      </c>
      <c r="E368" s="1">
        <v>0</v>
      </c>
      <c r="F368" s="1">
        <v>0</v>
      </c>
      <c r="G368" s="1">
        <v>1.6200000000000003</v>
      </c>
      <c r="H368" s="1">
        <v>0</v>
      </c>
      <c r="I368" s="1">
        <v>0</v>
      </c>
      <c r="J368" s="1">
        <v>0</v>
      </c>
      <c r="K368" s="1">
        <v>0.65</v>
      </c>
      <c r="L368" s="1">
        <v>0</v>
      </c>
      <c r="M368" s="1">
        <v>0</v>
      </c>
      <c r="N368" s="1">
        <v>0</v>
      </c>
      <c r="O368" s="1">
        <v>5.66</v>
      </c>
      <c r="P368" s="1">
        <v>10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3">
        <v>473</v>
      </c>
      <c r="AI368" s="3">
        <v>542</v>
      </c>
      <c r="AJ368" s="3">
        <v>8</v>
      </c>
    </row>
    <row r="369" spans="1:36" s="3" customFormat="1" x14ac:dyDescent="0.2">
      <c r="A369" s="1" t="s">
        <v>321</v>
      </c>
      <c r="B369" s="1" t="s">
        <v>626</v>
      </c>
      <c r="C369" s="1">
        <v>93.88</v>
      </c>
      <c r="D369" s="1">
        <v>0.49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0.64</v>
      </c>
      <c r="L369" s="1">
        <v>0</v>
      </c>
      <c r="M369" s="1">
        <v>0</v>
      </c>
      <c r="N369" s="1">
        <v>0</v>
      </c>
      <c r="O369" s="1">
        <v>4.9800000000000004</v>
      </c>
      <c r="P369" s="1">
        <v>0</v>
      </c>
      <c r="Q369" s="1">
        <v>0</v>
      </c>
      <c r="R369" s="1">
        <v>0.01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185</v>
      </c>
      <c r="AI369" s="1">
        <v>256</v>
      </c>
      <c r="AJ369" s="1">
        <v>27.4</v>
      </c>
    </row>
    <row r="370" spans="1:36" s="3" customFormat="1" x14ac:dyDescent="0.2">
      <c r="A370" s="3" t="s">
        <v>322</v>
      </c>
      <c r="B370" s="1" t="s">
        <v>625</v>
      </c>
      <c r="C370" s="1">
        <v>93.867334170000007</v>
      </c>
      <c r="D370" s="1">
        <v>0</v>
      </c>
      <c r="E370" s="1">
        <v>0</v>
      </c>
      <c r="F370" s="1">
        <v>0</v>
      </c>
      <c r="G370" s="1">
        <v>5.5068836000000001</v>
      </c>
      <c r="H370" s="1">
        <v>0</v>
      </c>
      <c r="I370" s="1">
        <v>0</v>
      </c>
      <c r="J370" s="1">
        <v>0</v>
      </c>
      <c r="K370" s="1">
        <v>0.62578222999999999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3">
        <v>250</v>
      </c>
      <c r="AI370" s="3">
        <v>330</v>
      </c>
      <c r="AJ370" s="3">
        <v>4.5</v>
      </c>
    </row>
    <row r="371" spans="1:36" s="3" customFormat="1" x14ac:dyDescent="0.2">
      <c r="A371" s="3" t="s">
        <v>323</v>
      </c>
      <c r="B371" s="1" t="s">
        <v>627</v>
      </c>
      <c r="C371" s="1">
        <v>93.867334170000007</v>
      </c>
      <c r="D371" s="1">
        <v>0</v>
      </c>
      <c r="E371" s="1">
        <v>0</v>
      </c>
      <c r="F371" s="1">
        <v>0</v>
      </c>
      <c r="G371" s="1">
        <v>5.5068836000000001</v>
      </c>
      <c r="H371" s="1">
        <v>0</v>
      </c>
      <c r="I371" s="1">
        <v>0</v>
      </c>
      <c r="J371" s="1">
        <v>0</v>
      </c>
      <c r="K371" s="1">
        <v>0.62578222999999999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3">
        <v>230</v>
      </c>
      <c r="AI371" s="3">
        <v>330</v>
      </c>
      <c r="AJ371" s="3">
        <v>5.7</v>
      </c>
    </row>
    <row r="372" spans="1:36" s="3" customFormat="1" x14ac:dyDescent="0.2">
      <c r="A372" s="3" t="s">
        <v>324</v>
      </c>
      <c r="B372" s="1" t="s">
        <v>625</v>
      </c>
      <c r="C372" s="1">
        <v>93.867334170000007</v>
      </c>
      <c r="D372" s="1">
        <v>0</v>
      </c>
      <c r="E372" s="1">
        <v>0</v>
      </c>
      <c r="F372" s="1">
        <v>0</v>
      </c>
      <c r="G372" s="1">
        <v>5.5068836000000001</v>
      </c>
      <c r="H372" s="1">
        <v>0</v>
      </c>
      <c r="I372" s="1">
        <v>0</v>
      </c>
      <c r="J372" s="1">
        <v>0</v>
      </c>
      <c r="K372" s="1">
        <v>0.62578222999999999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3">
        <v>250</v>
      </c>
      <c r="AI372" s="3">
        <v>340</v>
      </c>
      <c r="AJ372" s="3">
        <v>6</v>
      </c>
    </row>
    <row r="373" spans="1:36" s="3" customFormat="1" x14ac:dyDescent="0.2">
      <c r="A373" s="3" t="s">
        <v>325</v>
      </c>
      <c r="B373" s="1" t="s">
        <v>625</v>
      </c>
      <c r="C373" s="1">
        <v>96.120150190000004</v>
      </c>
      <c r="D373" s="1">
        <v>0</v>
      </c>
      <c r="E373" s="1">
        <v>0</v>
      </c>
      <c r="F373" s="1">
        <v>0</v>
      </c>
      <c r="G373" s="1">
        <v>3.2540675800000001</v>
      </c>
      <c r="H373" s="1">
        <v>0</v>
      </c>
      <c r="I373" s="1">
        <v>0</v>
      </c>
      <c r="J373" s="1">
        <v>0</v>
      </c>
      <c r="K373" s="1">
        <v>0.62578222999999999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3">
        <v>290</v>
      </c>
      <c r="AI373" s="3">
        <v>310</v>
      </c>
      <c r="AJ373" s="3">
        <v>4.5</v>
      </c>
    </row>
    <row r="374" spans="1:36" s="3" customFormat="1" x14ac:dyDescent="0.2">
      <c r="A374" s="3" t="s">
        <v>326</v>
      </c>
      <c r="B374" s="1" t="s">
        <v>627</v>
      </c>
      <c r="C374" s="1">
        <v>96.120150190000004</v>
      </c>
      <c r="D374" s="1">
        <v>0</v>
      </c>
      <c r="E374" s="1">
        <v>0</v>
      </c>
      <c r="F374" s="1">
        <v>0</v>
      </c>
      <c r="G374" s="1">
        <v>3.2540675800000001</v>
      </c>
      <c r="H374" s="1">
        <v>0</v>
      </c>
      <c r="I374" s="1">
        <v>0</v>
      </c>
      <c r="J374" s="1">
        <v>0</v>
      </c>
      <c r="K374" s="1">
        <v>0.62578222999999999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3">
        <v>240</v>
      </c>
      <c r="AI374" s="3">
        <v>330</v>
      </c>
      <c r="AJ374" s="3">
        <v>8.6</v>
      </c>
    </row>
    <row r="375" spans="1:36" s="3" customFormat="1" x14ac:dyDescent="0.2">
      <c r="A375" s="3" t="s">
        <v>261</v>
      </c>
      <c r="B375" s="1" t="s">
        <v>628</v>
      </c>
      <c r="C375" s="1">
        <v>93.4</v>
      </c>
      <c r="D375" s="1">
        <v>0</v>
      </c>
      <c r="E375" s="1">
        <v>0</v>
      </c>
      <c r="F375" s="1">
        <v>0</v>
      </c>
      <c r="G375" s="1">
        <v>6</v>
      </c>
      <c r="H375" s="1">
        <v>0</v>
      </c>
      <c r="I375" s="1">
        <v>0</v>
      </c>
      <c r="J375" s="1">
        <v>0</v>
      </c>
      <c r="K375" s="1">
        <v>0.6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3">
        <v>235</v>
      </c>
      <c r="AI375" s="3">
        <v>315</v>
      </c>
      <c r="AJ375" s="3">
        <v>8</v>
      </c>
    </row>
    <row r="376" spans="1:36" s="3" customFormat="1" x14ac:dyDescent="0.2">
      <c r="A376" s="3" t="s">
        <v>327</v>
      </c>
      <c r="B376" s="1" t="s">
        <v>628</v>
      </c>
      <c r="C376" s="1">
        <v>96.4</v>
      </c>
      <c r="D376" s="1">
        <v>0</v>
      </c>
      <c r="E376" s="1">
        <v>0</v>
      </c>
      <c r="F376" s="1">
        <v>0</v>
      </c>
      <c r="G376" s="1">
        <v>3</v>
      </c>
      <c r="H376" s="1">
        <v>0</v>
      </c>
      <c r="I376" s="1">
        <v>0</v>
      </c>
      <c r="J376" s="1">
        <v>0</v>
      </c>
      <c r="K376" s="1">
        <v>0.6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3">
        <v>215</v>
      </c>
      <c r="AI376" s="3">
        <v>300</v>
      </c>
      <c r="AJ376" s="3">
        <v>9</v>
      </c>
    </row>
    <row r="377" spans="1:36" s="3" customFormat="1" x14ac:dyDescent="0.2">
      <c r="A377" s="3" t="s">
        <v>328</v>
      </c>
      <c r="B377" s="1" t="s">
        <v>626</v>
      </c>
      <c r="C377" s="1">
        <v>96.4</v>
      </c>
      <c r="D377" s="1">
        <v>0</v>
      </c>
      <c r="E377" s="1">
        <v>0</v>
      </c>
      <c r="F377" s="1">
        <v>0</v>
      </c>
      <c r="G377" s="1">
        <v>3</v>
      </c>
      <c r="H377" s="1">
        <v>0</v>
      </c>
      <c r="I377" s="1">
        <v>0</v>
      </c>
      <c r="J377" s="1">
        <v>0</v>
      </c>
      <c r="K377" s="1">
        <v>0.6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3">
        <v>207</v>
      </c>
      <c r="AI377" s="3">
        <v>296</v>
      </c>
      <c r="AJ377" s="3">
        <v>7</v>
      </c>
    </row>
    <row r="378" spans="1:36" s="3" customFormat="1" x14ac:dyDescent="0.2">
      <c r="A378" s="3" t="s">
        <v>328</v>
      </c>
      <c r="B378" s="1" t="s">
        <v>628</v>
      </c>
      <c r="C378" s="1">
        <v>96.4</v>
      </c>
      <c r="D378" s="1">
        <v>0</v>
      </c>
      <c r="E378" s="1">
        <v>0</v>
      </c>
      <c r="F378" s="1">
        <v>0</v>
      </c>
      <c r="G378" s="1">
        <v>3</v>
      </c>
      <c r="H378" s="1">
        <v>0</v>
      </c>
      <c r="I378" s="1">
        <v>0</v>
      </c>
      <c r="J378" s="1">
        <v>0</v>
      </c>
      <c r="K378" s="1">
        <v>0.6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3">
        <v>207</v>
      </c>
      <c r="AI378" s="3">
        <v>290</v>
      </c>
      <c r="AJ378" s="3">
        <v>7</v>
      </c>
    </row>
    <row r="379" spans="1:36" s="3" customFormat="1" x14ac:dyDescent="0.2">
      <c r="A379" s="1" t="s">
        <v>329</v>
      </c>
      <c r="B379" s="1" t="s">
        <v>626</v>
      </c>
      <c r="C379" s="1">
        <v>96.4</v>
      </c>
      <c r="D379" s="1">
        <v>0</v>
      </c>
      <c r="E379" s="1">
        <v>0</v>
      </c>
      <c r="F379" s="1">
        <v>0</v>
      </c>
      <c r="G379" s="1">
        <v>3</v>
      </c>
      <c r="H379" s="1">
        <v>0</v>
      </c>
      <c r="I379" s="1">
        <v>0</v>
      </c>
      <c r="J379" s="1">
        <v>0</v>
      </c>
      <c r="K379" s="1">
        <v>0.6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225</v>
      </c>
      <c r="AI379" s="1">
        <v>305</v>
      </c>
      <c r="AJ379" s="1">
        <v>8</v>
      </c>
    </row>
    <row r="380" spans="1:36" s="3" customFormat="1" x14ac:dyDescent="0.2">
      <c r="A380" s="3" t="s">
        <v>653</v>
      </c>
      <c r="B380" s="1" t="s">
        <v>626</v>
      </c>
      <c r="C380" s="1">
        <v>84.4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0.6</v>
      </c>
      <c r="L380" s="1">
        <v>0</v>
      </c>
      <c r="M380" s="1">
        <v>0</v>
      </c>
      <c r="N380" s="1">
        <v>0</v>
      </c>
      <c r="O380" s="1">
        <v>3</v>
      </c>
      <c r="P380" s="1">
        <v>12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3">
        <v>350</v>
      </c>
      <c r="AI380" s="3">
        <v>446</v>
      </c>
      <c r="AJ380" s="3">
        <v>10.199999999999999</v>
      </c>
    </row>
    <row r="381" spans="1:36" s="3" customFormat="1" x14ac:dyDescent="0.2">
      <c r="A381" s="3" t="s">
        <v>330</v>
      </c>
      <c r="B381" s="1" t="s">
        <v>626</v>
      </c>
      <c r="C381" s="1">
        <v>92</v>
      </c>
      <c r="D381" s="1">
        <v>0</v>
      </c>
      <c r="E381" s="1">
        <v>1.5</v>
      </c>
      <c r="F381" s="1">
        <v>0</v>
      </c>
      <c r="G381" s="1">
        <v>6</v>
      </c>
      <c r="H381" s="1">
        <v>0</v>
      </c>
      <c r="I381" s="1">
        <v>0</v>
      </c>
      <c r="J381" s="1">
        <v>0</v>
      </c>
      <c r="K381" s="1">
        <v>0.5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3">
        <v>330</v>
      </c>
      <c r="AI381" s="3">
        <v>349</v>
      </c>
      <c r="AJ381" s="3">
        <v>19</v>
      </c>
    </row>
    <row r="382" spans="1:36" s="3" customFormat="1" x14ac:dyDescent="0.2">
      <c r="A382" s="3" t="s">
        <v>331</v>
      </c>
      <c r="B382" s="1" t="s">
        <v>626</v>
      </c>
      <c r="C382" s="1">
        <v>92.5</v>
      </c>
      <c r="D382" s="1">
        <v>0</v>
      </c>
      <c r="E382" s="1">
        <v>1</v>
      </c>
      <c r="F382" s="1">
        <v>0</v>
      </c>
      <c r="G382" s="1">
        <v>6</v>
      </c>
      <c r="H382" s="1">
        <v>0</v>
      </c>
      <c r="I382" s="1">
        <v>0</v>
      </c>
      <c r="J382" s="1">
        <v>0</v>
      </c>
      <c r="K382" s="1">
        <v>0.5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3">
        <v>314</v>
      </c>
      <c r="AI382" s="3">
        <v>349</v>
      </c>
      <c r="AJ382" s="3">
        <v>21</v>
      </c>
    </row>
    <row r="383" spans="1:36" s="3" customFormat="1" x14ac:dyDescent="0.2">
      <c r="A383" s="3" t="s">
        <v>332</v>
      </c>
      <c r="B383" s="1" t="s">
        <v>626</v>
      </c>
      <c r="C383" s="1">
        <v>93</v>
      </c>
      <c r="D383" s="1">
        <v>0</v>
      </c>
      <c r="E383" s="1">
        <v>0.5</v>
      </c>
      <c r="F383" s="1">
        <v>0</v>
      </c>
      <c r="G383" s="1">
        <v>6</v>
      </c>
      <c r="H383" s="1">
        <v>0</v>
      </c>
      <c r="I383" s="1">
        <v>0</v>
      </c>
      <c r="J383" s="1">
        <v>0</v>
      </c>
      <c r="K383" s="1">
        <v>0.5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3">
        <v>260</v>
      </c>
      <c r="AI383" s="3">
        <v>329</v>
      </c>
      <c r="AJ383" s="3">
        <v>22</v>
      </c>
    </row>
    <row r="384" spans="1:36" s="3" customFormat="1" x14ac:dyDescent="0.2">
      <c r="A384" s="3" t="s">
        <v>333</v>
      </c>
      <c r="B384" s="1" t="s">
        <v>626</v>
      </c>
      <c r="C384" s="1">
        <v>93.5</v>
      </c>
      <c r="D384" s="1">
        <v>0</v>
      </c>
      <c r="E384" s="1">
        <v>0</v>
      </c>
      <c r="F384" s="1">
        <v>0</v>
      </c>
      <c r="G384" s="1">
        <v>6</v>
      </c>
      <c r="H384" s="1">
        <v>0</v>
      </c>
      <c r="I384" s="1">
        <v>0</v>
      </c>
      <c r="J384" s="1">
        <v>0</v>
      </c>
      <c r="K384" s="1">
        <v>0.5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3">
        <v>255</v>
      </c>
      <c r="AI384" s="3">
        <v>324</v>
      </c>
      <c r="AJ384" s="3">
        <v>27</v>
      </c>
    </row>
    <row r="385" spans="1:36" s="3" customFormat="1" x14ac:dyDescent="0.2">
      <c r="A385" s="3" t="s">
        <v>186</v>
      </c>
      <c r="B385" s="1" t="s">
        <v>625</v>
      </c>
      <c r="C385" s="1">
        <v>91.15</v>
      </c>
      <c r="D385" s="1">
        <v>3.25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0.5</v>
      </c>
      <c r="L385" s="1">
        <v>0</v>
      </c>
      <c r="M385" s="1">
        <v>0</v>
      </c>
      <c r="N385" s="1">
        <v>0</v>
      </c>
      <c r="O385" s="1">
        <v>5.0999999999999996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3">
        <v>200</v>
      </c>
      <c r="AI385" s="3">
        <v>285</v>
      </c>
      <c r="AJ385" s="3">
        <v>4</v>
      </c>
    </row>
    <row r="386" spans="1:36" s="3" customFormat="1" x14ac:dyDescent="0.2">
      <c r="A386" s="3" t="s">
        <v>64</v>
      </c>
      <c r="B386" s="1" t="s">
        <v>625</v>
      </c>
      <c r="C386" s="1">
        <v>92.25</v>
      </c>
      <c r="D386" s="1">
        <v>3.25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0.5</v>
      </c>
      <c r="L386" s="1">
        <v>0</v>
      </c>
      <c r="M386" s="1">
        <v>0</v>
      </c>
      <c r="N386" s="1">
        <v>0</v>
      </c>
      <c r="O386" s="1">
        <v>4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3">
        <v>190</v>
      </c>
      <c r="AI386" s="3">
        <v>250</v>
      </c>
      <c r="AJ386" s="3">
        <v>7</v>
      </c>
    </row>
    <row r="387" spans="1:36" s="3" customFormat="1" x14ac:dyDescent="0.2">
      <c r="A387" s="3" t="s">
        <v>64</v>
      </c>
      <c r="B387" s="1" t="s">
        <v>626</v>
      </c>
      <c r="C387" s="1">
        <v>92.5</v>
      </c>
      <c r="D387" s="1">
        <v>1</v>
      </c>
      <c r="E387" s="1">
        <v>1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0.5</v>
      </c>
      <c r="L387" s="1">
        <v>0</v>
      </c>
      <c r="M387" s="1">
        <v>0</v>
      </c>
      <c r="N387" s="1">
        <v>0</v>
      </c>
      <c r="O387" s="1">
        <v>4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3">
        <v>160</v>
      </c>
      <c r="AI387" s="3">
        <v>260</v>
      </c>
      <c r="AJ387" s="3">
        <v>6</v>
      </c>
    </row>
    <row r="388" spans="1:36" s="3" customFormat="1" x14ac:dyDescent="0.2">
      <c r="A388" s="3" t="s">
        <v>334</v>
      </c>
      <c r="B388" s="1" t="s">
        <v>626</v>
      </c>
      <c r="C388" s="1">
        <v>87.5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0.5</v>
      </c>
      <c r="L388" s="1">
        <v>0</v>
      </c>
      <c r="M388" s="1">
        <v>0</v>
      </c>
      <c r="N388" s="1">
        <v>0</v>
      </c>
      <c r="O388" s="1">
        <v>2</v>
      </c>
      <c r="P388" s="1">
        <v>10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3">
        <v>239</v>
      </c>
      <c r="AI388" s="3">
        <v>362</v>
      </c>
      <c r="AJ388" s="3">
        <v>4.7</v>
      </c>
    </row>
    <row r="389" spans="1:36" s="3" customFormat="1" x14ac:dyDescent="0.2">
      <c r="A389" s="3" t="s">
        <v>335</v>
      </c>
      <c r="B389" s="1" t="s">
        <v>626</v>
      </c>
      <c r="C389" s="1">
        <v>87.5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0.5</v>
      </c>
      <c r="L389" s="1">
        <v>0</v>
      </c>
      <c r="M389" s="1">
        <v>0</v>
      </c>
      <c r="N389" s="1">
        <v>0</v>
      </c>
      <c r="O389" s="1">
        <v>2</v>
      </c>
      <c r="P389" s="1">
        <v>10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3">
        <v>311</v>
      </c>
      <c r="AI389" s="3">
        <v>403</v>
      </c>
      <c r="AJ389" s="3">
        <v>15.3</v>
      </c>
    </row>
    <row r="390" spans="1:36" s="3" customFormat="1" x14ac:dyDescent="0.2">
      <c r="A390" s="3" t="s">
        <v>336</v>
      </c>
      <c r="B390" s="1" t="s">
        <v>625</v>
      </c>
      <c r="C390" s="1">
        <v>86.5</v>
      </c>
      <c r="D390" s="1">
        <v>2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0.5</v>
      </c>
      <c r="L390" s="1">
        <v>0</v>
      </c>
      <c r="M390" s="1">
        <v>0</v>
      </c>
      <c r="N390" s="1">
        <v>0</v>
      </c>
      <c r="O390" s="1">
        <v>0</v>
      </c>
      <c r="P390" s="1">
        <v>11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3">
        <v>230</v>
      </c>
      <c r="AI390" s="3">
        <v>350</v>
      </c>
      <c r="AJ390" s="3">
        <v>2.2999999999999998</v>
      </c>
    </row>
    <row r="391" spans="1:36" s="3" customFormat="1" x14ac:dyDescent="0.2">
      <c r="A391" s="3" t="s">
        <v>337</v>
      </c>
      <c r="B391" s="1" t="s">
        <v>626</v>
      </c>
      <c r="C391" s="1">
        <v>85.5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0.5</v>
      </c>
      <c r="L391" s="1">
        <v>0</v>
      </c>
      <c r="M391" s="1">
        <v>0</v>
      </c>
      <c r="N391" s="1">
        <v>0</v>
      </c>
      <c r="O391" s="1">
        <v>0</v>
      </c>
      <c r="P391" s="1">
        <v>14.000000000000002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3">
        <v>305</v>
      </c>
      <c r="AI391" s="3">
        <v>375</v>
      </c>
      <c r="AJ391" s="3">
        <v>3.5</v>
      </c>
    </row>
    <row r="392" spans="1:36" s="3" customFormat="1" x14ac:dyDescent="0.2">
      <c r="A392" s="1" t="s">
        <v>338</v>
      </c>
      <c r="B392" s="1" t="s">
        <v>628</v>
      </c>
      <c r="C392" s="1">
        <v>94.5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0.5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4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100</v>
      </c>
      <c r="AI392" s="1">
        <v>260</v>
      </c>
      <c r="AJ392" s="1">
        <v>6</v>
      </c>
    </row>
    <row r="393" spans="1:36" s="3" customFormat="1" x14ac:dyDescent="0.2">
      <c r="A393" s="3" t="s">
        <v>339</v>
      </c>
      <c r="B393" s="1" t="s">
        <v>627</v>
      </c>
      <c r="C393" s="1">
        <v>94.052761050000001</v>
      </c>
      <c r="D393" s="1">
        <v>0</v>
      </c>
      <c r="E393" s="1">
        <v>0</v>
      </c>
      <c r="F393" s="1">
        <v>0</v>
      </c>
      <c r="G393" s="1">
        <v>5.4972389499999998</v>
      </c>
      <c r="H393" s="1">
        <v>0</v>
      </c>
      <c r="I393" s="1">
        <v>0</v>
      </c>
      <c r="J393" s="1">
        <v>0</v>
      </c>
      <c r="K393" s="1">
        <v>0.45000000000000007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3">
        <v>247.5</v>
      </c>
      <c r="AI393" s="3">
        <v>327.5</v>
      </c>
      <c r="AJ393" s="3">
        <v>5</v>
      </c>
    </row>
    <row r="394" spans="1:36" s="3" customFormat="1" x14ac:dyDescent="0.2">
      <c r="A394" s="3" t="s">
        <v>340</v>
      </c>
      <c r="B394" s="1" t="s">
        <v>625</v>
      </c>
      <c r="C394" s="1">
        <v>94.052761050000001</v>
      </c>
      <c r="D394" s="1">
        <v>0</v>
      </c>
      <c r="E394" s="1">
        <v>0</v>
      </c>
      <c r="F394" s="1">
        <v>0</v>
      </c>
      <c r="G394" s="1">
        <v>5.4972389499999998</v>
      </c>
      <c r="H394" s="1">
        <v>0</v>
      </c>
      <c r="I394" s="1">
        <v>0</v>
      </c>
      <c r="J394" s="1">
        <v>0</v>
      </c>
      <c r="K394" s="1">
        <v>0.45000000000000007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3">
        <v>292</v>
      </c>
      <c r="AI394" s="3">
        <v>358</v>
      </c>
      <c r="AJ394" s="3">
        <v>5</v>
      </c>
    </row>
    <row r="395" spans="1:36" s="3" customFormat="1" x14ac:dyDescent="0.2">
      <c r="A395" s="3" t="s">
        <v>341</v>
      </c>
      <c r="B395" s="1" t="s">
        <v>626</v>
      </c>
      <c r="C395" s="1">
        <v>92.7</v>
      </c>
      <c r="D395" s="1">
        <v>0</v>
      </c>
      <c r="E395" s="1">
        <v>0</v>
      </c>
      <c r="F395" s="1">
        <v>0</v>
      </c>
      <c r="G395" s="1">
        <v>5.53</v>
      </c>
      <c r="H395" s="1">
        <v>0</v>
      </c>
      <c r="I395" s="1">
        <v>0</v>
      </c>
      <c r="J395" s="1">
        <v>0</v>
      </c>
      <c r="K395" s="1">
        <v>0.42</v>
      </c>
      <c r="L395" s="1">
        <v>0</v>
      </c>
      <c r="M395" s="1">
        <v>0</v>
      </c>
      <c r="N395" s="1">
        <v>0</v>
      </c>
      <c r="O395" s="1">
        <v>1.35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3">
        <v>285</v>
      </c>
      <c r="AI395" s="3">
        <v>340</v>
      </c>
      <c r="AJ395" s="3">
        <v>10</v>
      </c>
    </row>
    <row r="396" spans="1:36" s="3" customFormat="1" x14ac:dyDescent="0.2">
      <c r="A396" s="3" t="s">
        <v>342</v>
      </c>
      <c r="B396" s="1" t="s">
        <v>626</v>
      </c>
      <c r="C396" s="1">
        <v>92.36</v>
      </c>
      <c r="D396" s="1">
        <v>0</v>
      </c>
      <c r="E396" s="1">
        <v>0</v>
      </c>
      <c r="F396" s="1">
        <v>0</v>
      </c>
      <c r="G396" s="1">
        <v>5.55</v>
      </c>
      <c r="H396" s="1">
        <v>0</v>
      </c>
      <c r="I396" s="1">
        <v>0</v>
      </c>
      <c r="J396" s="1">
        <v>0</v>
      </c>
      <c r="K396" s="1">
        <v>0.37</v>
      </c>
      <c r="L396" s="1">
        <v>0</v>
      </c>
      <c r="M396" s="1">
        <v>0</v>
      </c>
      <c r="N396" s="1">
        <v>0</v>
      </c>
      <c r="O396" s="1">
        <v>1.72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3">
        <v>264</v>
      </c>
      <c r="AI396" s="3">
        <v>335</v>
      </c>
      <c r="AJ396" s="3">
        <v>15</v>
      </c>
    </row>
    <row r="397" spans="1:36" s="3" customFormat="1" x14ac:dyDescent="0.2">
      <c r="A397" s="1" t="s">
        <v>343</v>
      </c>
      <c r="B397" s="1" t="s">
        <v>626</v>
      </c>
      <c r="C397" s="1">
        <v>92.29</v>
      </c>
      <c r="D397" s="1">
        <v>1</v>
      </c>
      <c r="E397" s="1">
        <v>1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0.36</v>
      </c>
      <c r="L397" s="1">
        <v>0</v>
      </c>
      <c r="M397" s="1">
        <v>0</v>
      </c>
      <c r="N397" s="1">
        <v>0</v>
      </c>
      <c r="O397" s="1">
        <v>4.3499999999999996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165</v>
      </c>
      <c r="AI397" s="1">
        <v>265</v>
      </c>
      <c r="AJ397" s="1">
        <v>6</v>
      </c>
    </row>
    <row r="398" spans="1:36" s="3" customFormat="1" x14ac:dyDescent="0.2">
      <c r="A398" s="3" t="s">
        <v>780</v>
      </c>
      <c r="B398" s="1" t="s">
        <v>626</v>
      </c>
      <c r="C398" s="1">
        <v>95.5</v>
      </c>
      <c r="D398" s="1">
        <v>0</v>
      </c>
      <c r="E398" s="1">
        <v>0</v>
      </c>
      <c r="F398" s="1">
        <v>0</v>
      </c>
      <c r="G398" s="1">
        <v>0.7</v>
      </c>
      <c r="H398" s="1">
        <v>0</v>
      </c>
      <c r="I398" s="1">
        <v>0</v>
      </c>
      <c r="J398" s="1">
        <v>0</v>
      </c>
      <c r="K398" s="1">
        <v>0.2</v>
      </c>
      <c r="L398" s="1">
        <v>0</v>
      </c>
      <c r="M398" s="1">
        <v>0</v>
      </c>
      <c r="N398" s="1">
        <v>0</v>
      </c>
      <c r="O398" s="1">
        <v>1.8000000000000003</v>
      </c>
      <c r="P398" s="1">
        <v>1.8000000000000003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3">
        <v>473</v>
      </c>
      <c r="AI398" s="3">
        <v>542</v>
      </c>
      <c r="AJ398" s="3">
        <v>8</v>
      </c>
    </row>
    <row r="399" spans="1:36" s="3" customFormat="1" x14ac:dyDescent="0.2">
      <c r="A399" s="3" t="s">
        <v>344</v>
      </c>
      <c r="B399" s="1" t="s">
        <v>626</v>
      </c>
      <c r="C399" s="1">
        <v>93.94</v>
      </c>
      <c r="D399" s="1">
        <v>0</v>
      </c>
      <c r="E399" s="1">
        <v>0</v>
      </c>
      <c r="F399" s="1">
        <v>0</v>
      </c>
      <c r="G399" s="1">
        <v>5</v>
      </c>
      <c r="H399" s="1">
        <v>0</v>
      </c>
      <c r="I399" s="1">
        <v>0</v>
      </c>
      <c r="J399" s="1">
        <v>0</v>
      </c>
      <c r="K399" s="1">
        <v>0.16</v>
      </c>
      <c r="L399" s="1">
        <v>0</v>
      </c>
      <c r="M399" s="1">
        <v>0</v>
      </c>
      <c r="N399" s="1">
        <v>0</v>
      </c>
      <c r="O399" s="1">
        <v>0.90000000000000013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3">
        <v>317</v>
      </c>
      <c r="AI399" s="3">
        <v>363</v>
      </c>
      <c r="AJ399" s="3">
        <v>12</v>
      </c>
    </row>
    <row r="400" spans="1:36" s="3" customFormat="1" x14ac:dyDescent="0.2">
      <c r="A400" s="3" t="s">
        <v>315</v>
      </c>
      <c r="B400" s="1" t="s">
        <v>626</v>
      </c>
      <c r="C400" s="1">
        <v>94.41</v>
      </c>
      <c r="D400" s="1">
        <v>0</v>
      </c>
      <c r="E400" s="1">
        <v>0.78</v>
      </c>
      <c r="F400" s="1">
        <v>0.32</v>
      </c>
      <c r="G400" s="1">
        <v>4.37</v>
      </c>
      <c r="H400" s="1">
        <v>0</v>
      </c>
      <c r="I400" s="1">
        <v>0</v>
      </c>
      <c r="J400" s="1">
        <v>0</v>
      </c>
      <c r="K400" s="1">
        <v>0.12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3">
        <v>405</v>
      </c>
      <c r="AI400" s="3">
        <v>421</v>
      </c>
      <c r="AJ400" s="3">
        <v>18</v>
      </c>
    </row>
    <row r="401" spans="1:36" s="3" customFormat="1" x14ac:dyDescent="0.2">
      <c r="A401" s="3" t="s">
        <v>345</v>
      </c>
      <c r="B401" s="1" t="s">
        <v>627</v>
      </c>
      <c r="C401" s="1">
        <v>79.27</v>
      </c>
      <c r="D401" s="1">
        <v>0</v>
      </c>
      <c r="E401" s="1">
        <v>0</v>
      </c>
      <c r="F401" s="1">
        <v>0</v>
      </c>
      <c r="G401" s="1">
        <v>14.3</v>
      </c>
      <c r="H401" s="1">
        <v>0</v>
      </c>
      <c r="I401" s="1">
        <v>6.17</v>
      </c>
      <c r="J401" s="1">
        <v>0</v>
      </c>
      <c r="K401" s="1">
        <v>0</v>
      </c>
      <c r="L401" s="1">
        <v>0</v>
      </c>
      <c r="M401" s="1">
        <v>0</v>
      </c>
      <c r="N401" s="1">
        <v>0.26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3">
        <v>111</v>
      </c>
      <c r="AI401" s="3">
        <v>114</v>
      </c>
      <c r="AJ401" s="3">
        <v>1</v>
      </c>
    </row>
    <row r="402" spans="1:36" s="3" customFormat="1" x14ac:dyDescent="0.2">
      <c r="A402" s="3" t="s">
        <v>346</v>
      </c>
      <c r="B402" s="1" t="s">
        <v>627</v>
      </c>
      <c r="C402" s="1">
        <v>82.17</v>
      </c>
      <c r="D402" s="1">
        <v>0</v>
      </c>
      <c r="E402" s="1">
        <v>0</v>
      </c>
      <c r="F402" s="1">
        <v>0</v>
      </c>
      <c r="G402" s="1">
        <v>13.8</v>
      </c>
      <c r="H402" s="1">
        <v>0</v>
      </c>
      <c r="I402" s="1">
        <v>3.8699999999999997</v>
      </c>
      <c r="J402" s="1">
        <v>0</v>
      </c>
      <c r="K402" s="1">
        <v>0</v>
      </c>
      <c r="L402" s="1">
        <v>0</v>
      </c>
      <c r="M402" s="1">
        <v>0</v>
      </c>
      <c r="N402" s="1">
        <v>0.16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3">
        <v>134</v>
      </c>
      <c r="AI402" s="3">
        <v>141</v>
      </c>
      <c r="AJ402" s="3">
        <v>1</v>
      </c>
    </row>
    <row r="403" spans="1:36" s="3" customFormat="1" x14ac:dyDescent="0.2">
      <c r="A403" s="3" t="s">
        <v>347</v>
      </c>
      <c r="B403" s="1" t="s">
        <v>627</v>
      </c>
      <c r="C403" s="1">
        <v>83.19</v>
      </c>
      <c r="D403" s="1">
        <v>0</v>
      </c>
      <c r="E403" s="1">
        <v>0</v>
      </c>
      <c r="F403" s="1">
        <v>0</v>
      </c>
      <c r="G403" s="1">
        <v>12.2</v>
      </c>
      <c r="H403" s="1">
        <v>0</v>
      </c>
      <c r="I403" s="1">
        <v>4.21</v>
      </c>
      <c r="J403" s="1">
        <v>0</v>
      </c>
      <c r="K403" s="1">
        <v>0</v>
      </c>
      <c r="L403" s="1">
        <v>0</v>
      </c>
      <c r="M403" s="1">
        <v>0</v>
      </c>
      <c r="N403" s="1">
        <v>0.4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3">
        <v>114</v>
      </c>
      <c r="AI403" s="3">
        <v>142</v>
      </c>
      <c r="AJ403" s="3">
        <v>1.41</v>
      </c>
    </row>
    <row r="404" spans="1:36" s="3" customFormat="1" x14ac:dyDescent="0.2">
      <c r="A404" s="3" t="s">
        <v>348</v>
      </c>
      <c r="B404" s="1" t="s">
        <v>627</v>
      </c>
      <c r="C404" s="1">
        <v>82.58</v>
      </c>
      <c r="D404" s="1">
        <v>0</v>
      </c>
      <c r="E404" s="1">
        <v>0</v>
      </c>
      <c r="F404" s="1">
        <v>0</v>
      </c>
      <c r="G404" s="1">
        <v>11.8</v>
      </c>
      <c r="H404" s="1">
        <v>0</v>
      </c>
      <c r="I404" s="1">
        <v>5.47</v>
      </c>
      <c r="J404" s="1">
        <v>0</v>
      </c>
      <c r="K404" s="1">
        <v>0</v>
      </c>
      <c r="L404" s="1">
        <v>0</v>
      </c>
      <c r="M404" s="1">
        <v>0</v>
      </c>
      <c r="N404" s="1">
        <v>0.15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3">
        <v>117</v>
      </c>
      <c r="AI404" s="3">
        <v>139</v>
      </c>
      <c r="AJ404" s="3">
        <v>1.42</v>
      </c>
    </row>
    <row r="405" spans="1:36" s="3" customFormat="1" x14ac:dyDescent="0.2">
      <c r="A405" s="3" t="s">
        <v>349</v>
      </c>
      <c r="B405" s="1" t="s">
        <v>627</v>
      </c>
      <c r="C405" s="1">
        <v>83.43</v>
      </c>
      <c r="D405" s="1">
        <v>0</v>
      </c>
      <c r="E405" s="1">
        <v>0</v>
      </c>
      <c r="F405" s="1">
        <v>0</v>
      </c>
      <c r="G405" s="1">
        <v>10.8</v>
      </c>
      <c r="H405" s="1">
        <v>0</v>
      </c>
      <c r="I405" s="1">
        <v>5.6</v>
      </c>
      <c r="J405" s="1">
        <v>0</v>
      </c>
      <c r="K405" s="1">
        <v>0</v>
      </c>
      <c r="L405" s="1">
        <v>0</v>
      </c>
      <c r="M405" s="1">
        <v>0</v>
      </c>
      <c r="N405" s="1">
        <v>0.17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3">
        <v>109</v>
      </c>
      <c r="AI405" s="3">
        <v>135</v>
      </c>
      <c r="AJ405" s="3">
        <v>1.85</v>
      </c>
    </row>
    <row r="406" spans="1:36" s="3" customFormat="1" x14ac:dyDescent="0.2">
      <c r="A406" s="3" t="s">
        <v>350</v>
      </c>
      <c r="B406" s="1" t="s">
        <v>627</v>
      </c>
      <c r="C406" s="1">
        <v>86.33</v>
      </c>
      <c r="D406" s="1">
        <v>0</v>
      </c>
      <c r="E406" s="1">
        <v>0</v>
      </c>
      <c r="F406" s="1">
        <v>0</v>
      </c>
      <c r="G406" s="1">
        <v>9.73</v>
      </c>
      <c r="H406" s="1">
        <v>0</v>
      </c>
      <c r="I406" s="1">
        <v>3.6900000000000004</v>
      </c>
      <c r="J406" s="1">
        <v>0</v>
      </c>
      <c r="K406" s="1">
        <v>0</v>
      </c>
      <c r="L406" s="1">
        <v>0</v>
      </c>
      <c r="M406" s="1">
        <v>0</v>
      </c>
      <c r="N406" s="1">
        <v>0.25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3">
        <v>106</v>
      </c>
      <c r="AI406" s="3">
        <v>149</v>
      </c>
      <c r="AJ406" s="3">
        <v>1.78</v>
      </c>
    </row>
    <row r="407" spans="1:36" s="3" customFormat="1" x14ac:dyDescent="0.2">
      <c r="A407" s="1" t="s">
        <v>351</v>
      </c>
      <c r="B407" s="1" t="s">
        <v>627</v>
      </c>
      <c r="C407" s="1">
        <v>86.53</v>
      </c>
      <c r="D407" s="1">
        <v>0.36</v>
      </c>
      <c r="E407" s="1">
        <v>0.36</v>
      </c>
      <c r="F407" s="1">
        <v>0.37</v>
      </c>
      <c r="G407" s="1">
        <v>8.1</v>
      </c>
      <c r="H407" s="1">
        <v>0</v>
      </c>
      <c r="I407" s="1">
        <v>3.9699999999999998</v>
      </c>
      <c r="J407" s="1">
        <v>0</v>
      </c>
      <c r="K407" s="1">
        <v>0</v>
      </c>
      <c r="L407" s="1">
        <v>0</v>
      </c>
      <c r="M407" s="1">
        <v>0</v>
      </c>
      <c r="N407" s="1">
        <v>0.31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118</v>
      </c>
      <c r="AI407" s="1">
        <v>160</v>
      </c>
      <c r="AJ407" s="1">
        <v>4</v>
      </c>
    </row>
    <row r="408" spans="1:36" s="3" customFormat="1" x14ac:dyDescent="0.2">
      <c r="A408" s="3" t="s">
        <v>352</v>
      </c>
      <c r="B408" s="1" t="s">
        <v>627</v>
      </c>
      <c r="C408" s="1">
        <v>86.63</v>
      </c>
      <c r="D408" s="1">
        <v>0</v>
      </c>
      <c r="E408" s="1">
        <v>0</v>
      </c>
      <c r="F408" s="1">
        <v>0</v>
      </c>
      <c r="G408" s="1">
        <v>7.89</v>
      </c>
      <c r="H408" s="1">
        <v>0</v>
      </c>
      <c r="I408" s="1">
        <v>5.36</v>
      </c>
      <c r="J408" s="1">
        <v>0</v>
      </c>
      <c r="K408" s="1">
        <v>0</v>
      </c>
      <c r="L408" s="1">
        <v>0</v>
      </c>
      <c r="M408" s="1">
        <v>0</v>
      </c>
      <c r="N408" s="1">
        <v>0.12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3">
        <v>113</v>
      </c>
      <c r="AI408" s="3">
        <v>137</v>
      </c>
      <c r="AJ408" s="3">
        <v>0.95</v>
      </c>
    </row>
    <row r="409" spans="1:36" s="3" customFormat="1" x14ac:dyDescent="0.2">
      <c r="A409" s="1" t="s">
        <v>353</v>
      </c>
      <c r="B409" s="1" t="s">
        <v>626</v>
      </c>
      <c r="C409" s="1">
        <v>91.14</v>
      </c>
      <c r="D409" s="1">
        <v>0</v>
      </c>
      <c r="E409" s="1">
        <v>0</v>
      </c>
      <c r="F409" s="1">
        <v>0</v>
      </c>
      <c r="G409" s="1">
        <v>7.86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227</v>
      </c>
      <c r="AI409" s="1">
        <v>320</v>
      </c>
      <c r="AJ409" s="1">
        <v>13</v>
      </c>
    </row>
    <row r="410" spans="1:36" s="3" customFormat="1" x14ac:dyDescent="0.2">
      <c r="A410" s="1" t="s">
        <v>353</v>
      </c>
      <c r="B410" s="1" t="s">
        <v>625</v>
      </c>
      <c r="C410" s="1">
        <v>91.14</v>
      </c>
      <c r="D410" s="1">
        <v>0</v>
      </c>
      <c r="E410" s="1">
        <v>0</v>
      </c>
      <c r="F410" s="1">
        <v>0</v>
      </c>
      <c r="G410" s="1">
        <v>7.86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331</v>
      </c>
      <c r="AI410" s="1">
        <v>349</v>
      </c>
      <c r="AJ410" s="1">
        <v>0.44</v>
      </c>
    </row>
    <row r="411" spans="1:36" s="3" customFormat="1" x14ac:dyDescent="0.2">
      <c r="A411" s="1" t="s">
        <v>354</v>
      </c>
      <c r="B411" s="1" t="s">
        <v>627</v>
      </c>
      <c r="C411" s="1">
        <v>87.8</v>
      </c>
      <c r="D411" s="1">
        <v>0</v>
      </c>
      <c r="E411" s="1">
        <v>0</v>
      </c>
      <c r="F411" s="1">
        <v>0</v>
      </c>
      <c r="G411" s="1">
        <v>7.8100000000000005</v>
      </c>
      <c r="H411" s="1">
        <v>0</v>
      </c>
      <c r="I411" s="1">
        <v>4.0999999999999996</v>
      </c>
      <c r="J411" s="1">
        <v>0</v>
      </c>
      <c r="K411" s="1">
        <v>0</v>
      </c>
      <c r="L411" s="1">
        <v>0</v>
      </c>
      <c r="M411" s="1">
        <v>0</v>
      </c>
      <c r="N411" s="1">
        <v>0.28999999999999998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95</v>
      </c>
      <c r="AI411" s="1">
        <v>130</v>
      </c>
      <c r="AJ411" s="1">
        <v>3.7</v>
      </c>
    </row>
    <row r="412" spans="1:36" s="3" customFormat="1" x14ac:dyDescent="0.2">
      <c r="A412" s="3" t="s">
        <v>354</v>
      </c>
      <c r="B412" s="1" t="s">
        <v>627</v>
      </c>
      <c r="C412" s="1">
        <v>88.18</v>
      </c>
      <c r="D412" s="1">
        <v>0</v>
      </c>
      <c r="E412" s="1">
        <v>0</v>
      </c>
      <c r="F412" s="1">
        <v>0</v>
      </c>
      <c r="G412" s="1">
        <v>7.6900000000000013</v>
      </c>
      <c r="H412" s="1">
        <v>0</v>
      </c>
      <c r="I412" s="1">
        <v>3.8</v>
      </c>
      <c r="J412" s="1">
        <v>0</v>
      </c>
      <c r="K412" s="1">
        <v>0</v>
      </c>
      <c r="L412" s="1">
        <v>0</v>
      </c>
      <c r="M412" s="1">
        <v>0</v>
      </c>
      <c r="N412" s="1">
        <v>0.33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3">
        <v>105</v>
      </c>
      <c r="AI412" s="3">
        <v>145</v>
      </c>
      <c r="AJ412" s="3">
        <v>1.6</v>
      </c>
    </row>
    <row r="413" spans="1:36" s="3" customFormat="1" x14ac:dyDescent="0.2">
      <c r="A413" s="1" t="s">
        <v>355</v>
      </c>
      <c r="B413" s="1" t="s">
        <v>626</v>
      </c>
      <c r="C413" s="1">
        <v>92.44</v>
      </c>
      <c r="D413" s="1">
        <v>0</v>
      </c>
      <c r="E413" s="1">
        <v>0</v>
      </c>
      <c r="F413" s="1">
        <v>0</v>
      </c>
      <c r="G413" s="1">
        <v>6.61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0.95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222</v>
      </c>
      <c r="AI413" s="1">
        <v>311</v>
      </c>
      <c r="AJ413" s="1">
        <v>13.1</v>
      </c>
    </row>
    <row r="414" spans="1:36" s="3" customFormat="1" x14ac:dyDescent="0.2">
      <c r="A414" s="1" t="s">
        <v>355</v>
      </c>
      <c r="B414" s="1" t="s">
        <v>625</v>
      </c>
      <c r="C414" s="1">
        <v>92.44</v>
      </c>
      <c r="D414" s="1">
        <v>0</v>
      </c>
      <c r="E414" s="1">
        <v>0</v>
      </c>
      <c r="F414" s="1">
        <v>0</v>
      </c>
      <c r="G414" s="1">
        <v>6.61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0.95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334</v>
      </c>
      <c r="AI414" s="1">
        <v>363</v>
      </c>
      <c r="AJ414" s="1">
        <v>3.47</v>
      </c>
    </row>
    <row r="415" spans="1:36" s="3" customFormat="1" x14ac:dyDescent="0.2">
      <c r="A415" s="3" t="s">
        <v>356</v>
      </c>
      <c r="B415" s="1" t="s">
        <v>626</v>
      </c>
      <c r="C415" s="1">
        <v>91.5</v>
      </c>
      <c r="D415" s="1">
        <v>0</v>
      </c>
      <c r="E415" s="1">
        <v>0</v>
      </c>
      <c r="F415" s="1">
        <v>0</v>
      </c>
      <c r="G415" s="1">
        <v>6.5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0.75</v>
      </c>
      <c r="O415" s="1">
        <v>0</v>
      </c>
      <c r="P415" s="1">
        <v>0</v>
      </c>
      <c r="Q415" s="1">
        <v>1.25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3">
        <v>300</v>
      </c>
      <c r="AI415" s="3">
        <v>325</v>
      </c>
      <c r="AJ415" s="3">
        <v>3</v>
      </c>
    </row>
    <row r="416" spans="1:36" s="3" customFormat="1" x14ac:dyDescent="0.2">
      <c r="A416" s="3" t="s">
        <v>357</v>
      </c>
      <c r="B416" s="1" t="s">
        <v>627</v>
      </c>
      <c r="C416" s="1">
        <v>91.6</v>
      </c>
      <c r="D416" s="1">
        <v>0</v>
      </c>
      <c r="E416" s="1">
        <v>0</v>
      </c>
      <c r="F416" s="1">
        <v>0</v>
      </c>
      <c r="G416" s="1">
        <v>6.5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0.7</v>
      </c>
      <c r="O416" s="1">
        <v>0</v>
      </c>
      <c r="P416" s="1">
        <v>0</v>
      </c>
      <c r="Q416" s="1">
        <v>1.2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3">
        <v>315</v>
      </c>
      <c r="AI416" s="3">
        <v>340</v>
      </c>
      <c r="AJ416" s="3">
        <v>5</v>
      </c>
    </row>
    <row r="417" spans="1:36" s="3" customFormat="1" x14ac:dyDescent="0.2">
      <c r="A417" s="3" t="s">
        <v>358</v>
      </c>
      <c r="B417" s="1" t="s">
        <v>626</v>
      </c>
      <c r="C417" s="1">
        <v>84.41</v>
      </c>
      <c r="D417" s="1">
        <v>0</v>
      </c>
      <c r="E417" s="1">
        <v>0</v>
      </c>
      <c r="F417" s="1">
        <v>0</v>
      </c>
      <c r="G417" s="1">
        <v>6.47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1.26</v>
      </c>
      <c r="P417" s="1">
        <v>0</v>
      </c>
      <c r="Q417" s="1">
        <v>0</v>
      </c>
      <c r="R417" s="1">
        <v>0</v>
      </c>
      <c r="S417" s="1">
        <v>7.86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3">
        <v>159</v>
      </c>
      <c r="AI417" s="3">
        <v>239</v>
      </c>
      <c r="AJ417" s="3">
        <v>20.399999999999999</v>
      </c>
    </row>
    <row r="418" spans="1:36" s="3" customFormat="1" x14ac:dyDescent="0.2">
      <c r="A418" s="1" t="s">
        <v>359</v>
      </c>
      <c r="B418" s="1" t="s">
        <v>630</v>
      </c>
      <c r="C418" s="1">
        <v>91.57</v>
      </c>
      <c r="D418" s="1">
        <v>0</v>
      </c>
      <c r="E418" s="1">
        <v>0</v>
      </c>
      <c r="F418" s="1">
        <v>0</v>
      </c>
      <c r="G418" s="1">
        <v>6.39</v>
      </c>
      <c r="H418" s="1">
        <v>0</v>
      </c>
      <c r="I418" s="1">
        <v>2.04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185</v>
      </c>
      <c r="AI418" s="1">
        <v>230</v>
      </c>
      <c r="AJ418" s="1">
        <v>12</v>
      </c>
    </row>
    <row r="419" spans="1:36" s="3" customFormat="1" x14ac:dyDescent="0.2">
      <c r="A419" s="3" t="s">
        <v>304</v>
      </c>
      <c r="B419" s="1" t="s">
        <v>626</v>
      </c>
      <c r="C419" s="1">
        <v>93.8</v>
      </c>
      <c r="D419" s="1">
        <v>0</v>
      </c>
      <c r="E419" s="1">
        <v>0</v>
      </c>
      <c r="F419" s="1">
        <v>0</v>
      </c>
      <c r="G419" s="1">
        <v>6.2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3">
        <v>275</v>
      </c>
      <c r="AI419" s="3">
        <v>318</v>
      </c>
      <c r="AJ419" s="3">
        <v>17.100000000000001</v>
      </c>
    </row>
    <row r="420" spans="1:36" s="3" customFormat="1" x14ac:dyDescent="0.2">
      <c r="A420" s="3" t="s">
        <v>360</v>
      </c>
      <c r="B420" s="1" t="s">
        <v>626</v>
      </c>
      <c r="C420" s="1">
        <v>87.19</v>
      </c>
      <c r="D420" s="1">
        <v>0</v>
      </c>
      <c r="E420" s="1">
        <v>0</v>
      </c>
      <c r="F420" s="1">
        <v>0</v>
      </c>
      <c r="G420" s="1">
        <v>6.05</v>
      </c>
      <c r="H420" s="1">
        <v>5.84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0.91999999999999993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3">
        <v>262</v>
      </c>
      <c r="AI420" s="3">
        <v>330</v>
      </c>
      <c r="AJ420" s="3">
        <v>10</v>
      </c>
    </row>
    <row r="421" spans="1:36" s="3" customFormat="1" x14ac:dyDescent="0.2">
      <c r="A421" s="3" t="s">
        <v>361</v>
      </c>
      <c r="B421" s="1" t="s">
        <v>626</v>
      </c>
      <c r="C421" s="1">
        <v>91.82</v>
      </c>
      <c r="D421" s="1">
        <v>0</v>
      </c>
      <c r="E421" s="1">
        <v>0</v>
      </c>
      <c r="F421" s="1">
        <v>0</v>
      </c>
      <c r="G421" s="1">
        <v>6.05</v>
      </c>
      <c r="H421" s="1">
        <v>1.18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0.95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3">
        <v>242</v>
      </c>
      <c r="AI421" s="3">
        <v>321</v>
      </c>
      <c r="AJ421" s="3">
        <v>13</v>
      </c>
    </row>
    <row r="422" spans="1:36" s="3" customFormat="1" x14ac:dyDescent="0.2">
      <c r="A422" s="3" t="s">
        <v>362</v>
      </c>
      <c r="B422" s="1" t="s">
        <v>627</v>
      </c>
      <c r="C422" s="1">
        <v>90.786179270000005</v>
      </c>
      <c r="D422" s="1">
        <v>0</v>
      </c>
      <c r="E422" s="1">
        <v>0</v>
      </c>
      <c r="F422" s="1">
        <v>0</v>
      </c>
      <c r="G422" s="1">
        <v>6.0090135199999999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0.50075113000000004</v>
      </c>
      <c r="O422" s="1">
        <v>0</v>
      </c>
      <c r="P422" s="1">
        <v>0</v>
      </c>
      <c r="Q422" s="1">
        <v>2.70405608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3">
        <v>158</v>
      </c>
      <c r="AI422" s="3">
        <v>251</v>
      </c>
      <c r="AJ422" s="3">
        <v>4.5</v>
      </c>
    </row>
    <row r="423" spans="1:36" s="3" customFormat="1" x14ac:dyDescent="0.2">
      <c r="A423" s="3" t="s">
        <v>363</v>
      </c>
      <c r="B423" s="1" t="s">
        <v>625</v>
      </c>
      <c r="C423" s="1">
        <v>90.5</v>
      </c>
      <c r="D423" s="1">
        <v>0</v>
      </c>
      <c r="E423" s="1">
        <v>0</v>
      </c>
      <c r="F423" s="1">
        <v>0</v>
      </c>
      <c r="G423" s="1">
        <v>6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0.5</v>
      </c>
      <c r="O423" s="1">
        <v>0</v>
      </c>
      <c r="P423" s="1">
        <v>0</v>
      </c>
      <c r="Q423" s="1">
        <v>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3">
        <v>145</v>
      </c>
      <c r="AI423" s="3">
        <v>240</v>
      </c>
      <c r="AJ423" s="3">
        <v>5</v>
      </c>
    </row>
    <row r="424" spans="1:36" s="3" customFormat="1" x14ac:dyDescent="0.2">
      <c r="A424" s="3" t="s">
        <v>364</v>
      </c>
      <c r="B424" s="1" t="s">
        <v>626</v>
      </c>
      <c r="C424" s="1">
        <v>91</v>
      </c>
      <c r="D424" s="1">
        <v>0</v>
      </c>
      <c r="E424" s="1">
        <v>0</v>
      </c>
      <c r="F424" s="1">
        <v>0</v>
      </c>
      <c r="G424" s="1">
        <v>6</v>
      </c>
      <c r="H424" s="1">
        <v>0</v>
      </c>
      <c r="I424" s="1">
        <v>0</v>
      </c>
      <c r="J424" s="1">
        <v>0</v>
      </c>
      <c r="K424" s="1">
        <v>0</v>
      </c>
      <c r="L424" s="1">
        <v>3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3">
        <v>275</v>
      </c>
      <c r="AI424" s="3">
        <v>320</v>
      </c>
      <c r="AJ424" s="3">
        <v>21.5</v>
      </c>
    </row>
    <row r="425" spans="1:36" s="3" customFormat="1" x14ac:dyDescent="0.2">
      <c r="A425" s="3" t="s">
        <v>365</v>
      </c>
      <c r="B425" s="1" t="s">
        <v>626</v>
      </c>
      <c r="C425" s="1">
        <v>92</v>
      </c>
      <c r="D425" s="1">
        <v>0</v>
      </c>
      <c r="E425" s="1">
        <v>0</v>
      </c>
      <c r="F425" s="1">
        <v>0</v>
      </c>
      <c r="G425" s="1">
        <v>6</v>
      </c>
      <c r="H425" s="1">
        <v>0</v>
      </c>
      <c r="I425" s="1">
        <v>0</v>
      </c>
      <c r="J425" s="1">
        <v>0</v>
      </c>
      <c r="K425" s="1">
        <v>0</v>
      </c>
      <c r="L425" s="1">
        <v>2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3">
        <v>290</v>
      </c>
      <c r="AI425" s="3">
        <v>325</v>
      </c>
      <c r="AJ425" s="3">
        <v>20</v>
      </c>
    </row>
    <row r="426" spans="1:36" s="3" customFormat="1" x14ac:dyDescent="0.2">
      <c r="A426" s="3" t="s">
        <v>366</v>
      </c>
      <c r="B426" s="1" t="s">
        <v>626</v>
      </c>
      <c r="C426" s="1">
        <v>93</v>
      </c>
      <c r="D426" s="1">
        <v>0</v>
      </c>
      <c r="E426" s="1">
        <v>0</v>
      </c>
      <c r="F426" s="1">
        <v>0</v>
      </c>
      <c r="G426" s="1">
        <v>6</v>
      </c>
      <c r="H426" s="1">
        <v>0</v>
      </c>
      <c r="I426" s="1">
        <v>0</v>
      </c>
      <c r="J426" s="1">
        <v>0</v>
      </c>
      <c r="K426" s="1">
        <v>0</v>
      </c>
      <c r="L426" s="1">
        <v>1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3">
        <v>270</v>
      </c>
      <c r="AI426" s="3">
        <v>315</v>
      </c>
      <c r="AJ426" s="3">
        <v>24</v>
      </c>
    </row>
    <row r="427" spans="1:36" s="3" customFormat="1" x14ac:dyDescent="0.2">
      <c r="A427" s="3" t="s">
        <v>367</v>
      </c>
      <c r="B427" s="1" t="s">
        <v>626</v>
      </c>
      <c r="C427" s="1">
        <v>94</v>
      </c>
      <c r="D427" s="1">
        <v>0</v>
      </c>
      <c r="E427" s="1">
        <v>0</v>
      </c>
      <c r="F427" s="1">
        <v>0</v>
      </c>
      <c r="G427" s="1">
        <v>6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3">
        <v>260</v>
      </c>
      <c r="AI427" s="3">
        <v>305</v>
      </c>
      <c r="AJ427" s="3">
        <v>20.5</v>
      </c>
    </row>
    <row r="428" spans="1:36" s="3" customFormat="1" x14ac:dyDescent="0.2">
      <c r="A428" s="3" t="s">
        <v>368</v>
      </c>
      <c r="B428" s="1" t="s">
        <v>625</v>
      </c>
      <c r="C428" s="1">
        <v>94</v>
      </c>
      <c r="D428" s="1">
        <v>0</v>
      </c>
      <c r="E428" s="1">
        <v>0</v>
      </c>
      <c r="F428" s="1">
        <v>0</v>
      </c>
      <c r="G428" s="1">
        <v>6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3">
        <v>146.5</v>
      </c>
      <c r="AI428" s="3">
        <v>190</v>
      </c>
      <c r="AJ428" s="3">
        <v>5</v>
      </c>
    </row>
    <row r="429" spans="1:36" s="3" customFormat="1" x14ac:dyDescent="0.2">
      <c r="A429" s="3" t="s">
        <v>369</v>
      </c>
      <c r="B429" s="1" t="s">
        <v>626</v>
      </c>
      <c r="C429" s="1">
        <v>93.09</v>
      </c>
      <c r="D429" s="1">
        <v>0</v>
      </c>
      <c r="E429" s="1">
        <v>0</v>
      </c>
      <c r="F429" s="1">
        <v>0</v>
      </c>
      <c r="G429" s="1">
        <v>5.96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0.95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3">
        <v>215</v>
      </c>
      <c r="AI429" s="3">
        <v>312</v>
      </c>
      <c r="AJ429" s="3">
        <v>11</v>
      </c>
    </row>
    <row r="430" spans="1:36" s="3" customFormat="1" x14ac:dyDescent="0.2">
      <c r="A430" s="3" t="s">
        <v>370</v>
      </c>
      <c r="B430" s="1" t="s">
        <v>626</v>
      </c>
      <c r="C430" s="1">
        <v>83.55</v>
      </c>
      <c r="D430" s="1">
        <v>0</v>
      </c>
      <c r="E430" s="1">
        <v>0</v>
      </c>
      <c r="F430" s="1">
        <v>0</v>
      </c>
      <c r="G430" s="1">
        <v>5.94</v>
      </c>
      <c r="H430" s="1">
        <v>9.56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0.95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3">
        <v>274</v>
      </c>
      <c r="AI430" s="3">
        <v>326</v>
      </c>
      <c r="AJ430" s="3">
        <v>6</v>
      </c>
    </row>
    <row r="431" spans="1:36" s="3" customFormat="1" x14ac:dyDescent="0.2">
      <c r="A431" s="3" t="s">
        <v>371</v>
      </c>
      <c r="B431" s="1" t="s">
        <v>626</v>
      </c>
      <c r="C431" s="1">
        <v>88.7</v>
      </c>
      <c r="D431" s="1">
        <v>0</v>
      </c>
      <c r="E431" s="1">
        <v>0</v>
      </c>
      <c r="F431" s="1">
        <v>0</v>
      </c>
      <c r="G431" s="1">
        <v>5.91</v>
      </c>
      <c r="H431" s="1">
        <v>4.46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0.93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3">
        <v>252</v>
      </c>
      <c r="AI431" s="3">
        <v>326</v>
      </c>
      <c r="AJ431" s="3">
        <v>10.8</v>
      </c>
    </row>
    <row r="432" spans="1:36" s="3" customFormat="1" x14ac:dyDescent="0.2">
      <c r="A432" s="3" t="s">
        <v>372</v>
      </c>
      <c r="B432" s="1" t="s">
        <v>626</v>
      </c>
      <c r="C432" s="1">
        <v>85</v>
      </c>
      <c r="D432" s="1">
        <v>5</v>
      </c>
      <c r="E432" s="1">
        <v>0</v>
      </c>
      <c r="F432" s="1">
        <v>0</v>
      </c>
      <c r="G432" s="1">
        <v>5</v>
      </c>
      <c r="H432" s="1">
        <v>0</v>
      </c>
      <c r="I432" s="1">
        <v>5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3">
        <v>476</v>
      </c>
      <c r="AI432" s="3">
        <v>513</v>
      </c>
      <c r="AJ432" s="3">
        <v>5</v>
      </c>
    </row>
    <row r="433" spans="1:36" s="3" customFormat="1" x14ac:dyDescent="0.2">
      <c r="A433" s="3" t="s">
        <v>373</v>
      </c>
      <c r="B433" s="1" t="s">
        <v>626</v>
      </c>
      <c r="C433" s="1">
        <v>85</v>
      </c>
      <c r="D433" s="1">
        <v>5</v>
      </c>
      <c r="E433" s="1">
        <v>0</v>
      </c>
      <c r="F433" s="1">
        <v>0</v>
      </c>
      <c r="G433" s="1">
        <v>5</v>
      </c>
      <c r="H433" s="1">
        <v>0</v>
      </c>
      <c r="I433" s="1">
        <v>5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3">
        <v>425</v>
      </c>
      <c r="AI433" s="3">
        <v>475</v>
      </c>
      <c r="AJ433" s="3">
        <v>14</v>
      </c>
    </row>
    <row r="434" spans="1:36" s="3" customFormat="1" x14ac:dyDescent="0.2">
      <c r="A434" s="3" t="s">
        <v>375</v>
      </c>
      <c r="B434" s="1" t="s">
        <v>626</v>
      </c>
      <c r="C434" s="1">
        <v>85.1</v>
      </c>
      <c r="D434" s="1">
        <v>4.9000000000000004</v>
      </c>
      <c r="E434" s="1">
        <v>0</v>
      </c>
      <c r="F434" s="1">
        <v>0</v>
      </c>
      <c r="G434" s="1">
        <v>5</v>
      </c>
      <c r="H434" s="1">
        <v>0</v>
      </c>
      <c r="I434" s="1">
        <v>5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3">
        <v>360</v>
      </c>
      <c r="AI434" s="3">
        <v>435</v>
      </c>
      <c r="AJ434" s="3">
        <v>16</v>
      </c>
    </row>
    <row r="435" spans="1:36" s="3" customFormat="1" x14ac:dyDescent="0.2">
      <c r="A435" s="3" t="s">
        <v>376</v>
      </c>
      <c r="B435" s="1" t="s">
        <v>625</v>
      </c>
      <c r="C435" s="1">
        <v>85.1</v>
      </c>
      <c r="D435" s="1">
        <v>4.9000000000000004</v>
      </c>
      <c r="E435" s="1">
        <v>0</v>
      </c>
      <c r="F435" s="1">
        <v>0</v>
      </c>
      <c r="G435" s="1">
        <v>5</v>
      </c>
      <c r="H435" s="1">
        <v>0</v>
      </c>
      <c r="I435" s="1">
        <v>5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3">
        <v>403</v>
      </c>
      <c r="AI435" s="3">
        <v>450</v>
      </c>
      <c r="AJ435" s="3">
        <v>13.5</v>
      </c>
    </row>
    <row r="436" spans="1:36" s="3" customFormat="1" x14ac:dyDescent="0.2">
      <c r="A436" s="1" t="s">
        <v>377</v>
      </c>
      <c r="B436" s="1" t="s">
        <v>626</v>
      </c>
      <c r="C436" s="1">
        <v>94.3</v>
      </c>
      <c r="D436" s="1">
        <v>0</v>
      </c>
      <c r="E436" s="1">
        <v>0</v>
      </c>
      <c r="F436" s="1">
        <v>0</v>
      </c>
      <c r="G436" s="1">
        <v>4.75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0.95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235</v>
      </c>
      <c r="AI436" s="1">
        <v>312</v>
      </c>
      <c r="AJ436" s="1">
        <v>13.33</v>
      </c>
    </row>
    <row r="437" spans="1:36" s="3" customFormat="1" x14ac:dyDescent="0.2">
      <c r="A437" s="1" t="s">
        <v>377</v>
      </c>
      <c r="B437" s="1" t="s">
        <v>625</v>
      </c>
      <c r="C437" s="1">
        <v>94.3</v>
      </c>
      <c r="D437" s="1">
        <v>0</v>
      </c>
      <c r="E437" s="1">
        <v>0</v>
      </c>
      <c r="F437" s="1">
        <v>0</v>
      </c>
      <c r="G437" s="1">
        <v>4.75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0.95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262</v>
      </c>
      <c r="AI437" s="1">
        <v>304</v>
      </c>
      <c r="AJ437" s="1">
        <v>6.93</v>
      </c>
    </row>
    <row r="438" spans="1:36" s="3" customFormat="1" x14ac:dyDescent="0.2">
      <c r="A438" s="1" t="s">
        <v>374</v>
      </c>
      <c r="B438" s="1" t="s">
        <v>626</v>
      </c>
      <c r="C438" s="1">
        <v>84.94</v>
      </c>
      <c r="D438" s="1">
        <v>5.81</v>
      </c>
      <c r="E438" s="1">
        <v>0</v>
      </c>
      <c r="F438" s="1">
        <v>0</v>
      </c>
      <c r="G438" s="1">
        <v>4.3600000000000003</v>
      </c>
      <c r="H438" s="1">
        <v>0</v>
      </c>
      <c r="I438" s="1">
        <v>4.8899999999999997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420</v>
      </c>
      <c r="AI438" s="1">
        <v>490</v>
      </c>
      <c r="AJ438" s="1">
        <v>2</v>
      </c>
    </row>
    <row r="439" spans="1:36" s="3" customFormat="1" x14ac:dyDescent="0.2">
      <c r="A439" s="3" t="s">
        <v>378</v>
      </c>
      <c r="B439" s="1" t="s">
        <v>626</v>
      </c>
      <c r="C439" s="1">
        <v>95</v>
      </c>
      <c r="D439" s="1">
        <v>0</v>
      </c>
      <c r="E439" s="1">
        <v>0</v>
      </c>
      <c r="F439" s="1">
        <v>0</v>
      </c>
      <c r="G439" s="1">
        <v>4.2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0.8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3">
        <v>220</v>
      </c>
      <c r="AI439" s="3">
        <v>370</v>
      </c>
      <c r="AJ439" s="3">
        <v>17.2</v>
      </c>
    </row>
    <row r="440" spans="1:36" s="3" customFormat="1" x14ac:dyDescent="0.2">
      <c r="A440" s="3" t="s">
        <v>379</v>
      </c>
      <c r="B440" s="1" t="s">
        <v>626</v>
      </c>
      <c r="C440" s="1">
        <v>85</v>
      </c>
      <c r="D440" s="1">
        <v>0</v>
      </c>
      <c r="E440" s="1">
        <v>0</v>
      </c>
      <c r="F440" s="1">
        <v>0</v>
      </c>
      <c r="G440" s="1">
        <v>4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3">
        <v>479</v>
      </c>
      <c r="AI440" s="3">
        <v>532</v>
      </c>
      <c r="AJ440" s="3">
        <v>1.3</v>
      </c>
    </row>
    <row r="441" spans="1:36" s="3" customFormat="1" x14ac:dyDescent="0.2">
      <c r="A441" s="3" t="s">
        <v>379</v>
      </c>
      <c r="B441" s="1" t="s">
        <v>626</v>
      </c>
      <c r="C441" s="1">
        <v>85</v>
      </c>
      <c r="D441" s="1">
        <v>0</v>
      </c>
      <c r="E441" s="1">
        <v>0</v>
      </c>
      <c r="F441" s="1">
        <v>0</v>
      </c>
      <c r="G441" s="1">
        <v>4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11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3">
        <v>436</v>
      </c>
      <c r="AI441" s="3">
        <v>512</v>
      </c>
      <c r="AJ441" s="3">
        <v>0.9</v>
      </c>
    </row>
    <row r="442" spans="1:36" s="3" customFormat="1" x14ac:dyDescent="0.2">
      <c r="A442" s="3" t="s">
        <v>380</v>
      </c>
      <c r="B442" s="1" t="s">
        <v>626</v>
      </c>
      <c r="C442" s="1">
        <v>85</v>
      </c>
      <c r="D442" s="1">
        <v>0</v>
      </c>
      <c r="E442" s="1">
        <v>0</v>
      </c>
      <c r="F442" s="1">
        <v>0</v>
      </c>
      <c r="G442" s="1">
        <v>4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11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3">
        <v>313</v>
      </c>
      <c r="AI442" s="3">
        <v>346</v>
      </c>
      <c r="AJ442" s="3">
        <v>1.2</v>
      </c>
    </row>
    <row r="443" spans="1:36" s="3" customFormat="1" x14ac:dyDescent="0.2">
      <c r="A443" s="3" t="s">
        <v>380</v>
      </c>
      <c r="B443" s="1" t="s">
        <v>626</v>
      </c>
      <c r="C443" s="1">
        <v>85</v>
      </c>
      <c r="D443" s="1">
        <v>0</v>
      </c>
      <c r="E443" s="1">
        <v>0</v>
      </c>
      <c r="F443" s="1">
        <v>0</v>
      </c>
      <c r="G443" s="1">
        <v>4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11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3">
        <v>281</v>
      </c>
      <c r="AI443" s="3">
        <v>343</v>
      </c>
      <c r="AJ443" s="3">
        <v>2.2999999999999998</v>
      </c>
    </row>
    <row r="444" spans="1:36" s="3" customFormat="1" x14ac:dyDescent="0.2">
      <c r="A444" s="3" t="s">
        <v>381</v>
      </c>
      <c r="B444" s="1" t="s">
        <v>626</v>
      </c>
      <c r="C444" s="1">
        <v>92</v>
      </c>
      <c r="D444" s="1">
        <v>0</v>
      </c>
      <c r="E444" s="1">
        <v>0</v>
      </c>
      <c r="F444" s="1">
        <v>0</v>
      </c>
      <c r="G444" s="1">
        <v>4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4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3">
        <v>201</v>
      </c>
      <c r="AI444" s="3">
        <v>246</v>
      </c>
      <c r="AJ444" s="3">
        <v>8.1999999999999993</v>
      </c>
    </row>
    <row r="445" spans="1:36" s="3" customFormat="1" x14ac:dyDescent="0.2">
      <c r="A445" s="3" t="s">
        <v>381</v>
      </c>
      <c r="B445" s="1" t="s">
        <v>626</v>
      </c>
      <c r="C445" s="1">
        <v>92</v>
      </c>
      <c r="D445" s="1">
        <v>0</v>
      </c>
      <c r="E445" s="1">
        <v>0</v>
      </c>
      <c r="F445" s="1">
        <v>0</v>
      </c>
      <c r="G445" s="1">
        <v>4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3">
        <v>183</v>
      </c>
      <c r="AI445" s="3">
        <v>221</v>
      </c>
      <c r="AJ445" s="3">
        <v>8.3000000000000007</v>
      </c>
    </row>
    <row r="446" spans="1:36" s="3" customFormat="1" x14ac:dyDescent="0.2">
      <c r="A446" s="1" t="s">
        <v>382</v>
      </c>
      <c r="B446" s="1" t="s">
        <v>626</v>
      </c>
      <c r="C446" s="1">
        <v>95.02</v>
      </c>
      <c r="D446" s="1">
        <v>0</v>
      </c>
      <c r="E446" s="1">
        <v>0</v>
      </c>
      <c r="F446" s="1">
        <v>0</v>
      </c>
      <c r="G446" s="1">
        <v>4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0.98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239</v>
      </c>
      <c r="AI446" s="1">
        <v>299</v>
      </c>
      <c r="AJ446" s="1">
        <v>11.63</v>
      </c>
    </row>
    <row r="447" spans="1:36" s="3" customFormat="1" x14ac:dyDescent="0.2">
      <c r="A447" s="1" t="s">
        <v>382</v>
      </c>
      <c r="B447" s="1" t="s">
        <v>625</v>
      </c>
      <c r="C447" s="1">
        <v>95.02</v>
      </c>
      <c r="D447" s="1">
        <v>0</v>
      </c>
      <c r="E447" s="1">
        <v>0</v>
      </c>
      <c r="F447" s="1">
        <v>0</v>
      </c>
      <c r="G447" s="1">
        <v>4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0.98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235</v>
      </c>
      <c r="AI447" s="1">
        <v>278</v>
      </c>
      <c r="AJ447" s="1">
        <v>7</v>
      </c>
    </row>
    <row r="448" spans="1:36" s="3" customFormat="1" x14ac:dyDescent="0.2">
      <c r="A448" s="3" t="s">
        <v>383</v>
      </c>
      <c r="B448" s="1" t="s">
        <v>626</v>
      </c>
      <c r="C448" s="1">
        <v>95.5</v>
      </c>
      <c r="D448" s="1">
        <v>0</v>
      </c>
      <c r="E448" s="1">
        <v>0</v>
      </c>
      <c r="F448" s="1">
        <v>0</v>
      </c>
      <c r="G448" s="1">
        <v>4</v>
      </c>
      <c r="H448" s="1">
        <v>0</v>
      </c>
      <c r="I448" s="1">
        <v>0</v>
      </c>
      <c r="J448" s="1">
        <v>0.5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3">
        <v>211</v>
      </c>
      <c r="AI448" s="3">
        <v>273</v>
      </c>
      <c r="AJ448" s="3">
        <v>34</v>
      </c>
    </row>
    <row r="449" spans="1:36" s="3" customFormat="1" x14ac:dyDescent="0.2">
      <c r="A449" s="3" t="s">
        <v>384</v>
      </c>
      <c r="B449" s="1" t="s">
        <v>626</v>
      </c>
      <c r="C449" s="1">
        <v>95.9</v>
      </c>
      <c r="D449" s="1">
        <v>0</v>
      </c>
      <c r="E449" s="1">
        <v>0</v>
      </c>
      <c r="F449" s="1">
        <v>0</v>
      </c>
      <c r="G449" s="1">
        <v>3.5000000000000004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0.6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3">
        <v>117</v>
      </c>
      <c r="AI449" s="3">
        <v>214</v>
      </c>
      <c r="AJ449" s="3">
        <v>16.5</v>
      </c>
    </row>
    <row r="450" spans="1:36" s="3" customFormat="1" x14ac:dyDescent="0.2">
      <c r="A450" s="3" t="s">
        <v>385</v>
      </c>
      <c r="B450" s="1" t="s">
        <v>626</v>
      </c>
      <c r="C450" s="1">
        <v>88.23</v>
      </c>
      <c r="D450" s="1">
        <v>0</v>
      </c>
      <c r="E450" s="1">
        <v>0</v>
      </c>
      <c r="F450" s="1">
        <v>0</v>
      </c>
      <c r="G450" s="1">
        <v>3.12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0.61</v>
      </c>
      <c r="P450" s="1">
        <v>0</v>
      </c>
      <c r="Q450" s="1">
        <v>0</v>
      </c>
      <c r="R450" s="1">
        <v>0</v>
      </c>
      <c r="S450" s="1">
        <v>8.0399999999999991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3">
        <v>148</v>
      </c>
      <c r="AI450" s="3">
        <v>222</v>
      </c>
      <c r="AJ450" s="3">
        <v>30.7</v>
      </c>
    </row>
    <row r="451" spans="1:36" s="3" customFormat="1" x14ac:dyDescent="0.2">
      <c r="A451" s="3" t="s">
        <v>386</v>
      </c>
      <c r="B451" s="1" t="s">
        <v>626</v>
      </c>
      <c r="C451" s="1">
        <v>96.3</v>
      </c>
      <c r="D451" s="1">
        <v>0</v>
      </c>
      <c r="E451" s="1">
        <v>0</v>
      </c>
      <c r="F451" s="1">
        <v>0</v>
      </c>
      <c r="G451" s="1">
        <v>3</v>
      </c>
      <c r="H451" s="1">
        <v>0</v>
      </c>
      <c r="I451" s="1">
        <v>0</v>
      </c>
      <c r="J451" s="1">
        <v>0.2</v>
      </c>
      <c r="K451" s="1">
        <v>0</v>
      </c>
      <c r="L451" s="1">
        <v>0</v>
      </c>
      <c r="M451" s="1">
        <v>0</v>
      </c>
      <c r="N451" s="1">
        <v>0</v>
      </c>
      <c r="O451" s="1">
        <v>0.5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3">
        <v>308.89999999999998</v>
      </c>
      <c r="AI451" s="3">
        <v>318.3</v>
      </c>
      <c r="AJ451" s="3">
        <v>11.3</v>
      </c>
    </row>
    <row r="452" spans="1:36" s="3" customFormat="1" x14ac:dyDescent="0.2">
      <c r="A452" s="3" t="s">
        <v>387</v>
      </c>
      <c r="B452" s="1" t="s">
        <v>626</v>
      </c>
      <c r="C452" s="1">
        <v>96.3</v>
      </c>
      <c r="D452" s="1">
        <v>0</v>
      </c>
      <c r="E452" s="1">
        <v>0</v>
      </c>
      <c r="F452" s="1">
        <v>0</v>
      </c>
      <c r="G452" s="1">
        <v>3</v>
      </c>
      <c r="H452" s="1">
        <v>0</v>
      </c>
      <c r="I452" s="1">
        <v>0</v>
      </c>
      <c r="J452" s="1">
        <v>0.2</v>
      </c>
      <c r="K452" s="1">
        <v>0</v>
      </c>
      <c r="L452" s="1">
        <v>0</v>
      </c>
      <c r="M452" s="1">
        <v>0</v>
      </c>
      <c r="N452" s="1">
        <v>0</v>
      </c>
      <c r="O452" s="1">
        <v>0.5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3">
        <v>279.2</v>
      </c>
      <c r="AI452" s="3">
        <v>304.7</v>
      </c>
      <c r="AJ452" s="3">
        <v>32.9</v>
      </c>
    </row>
    <row r="453" spans="1:36" s="3" customFormat="1" x14ac:dyDescent="0.2">
      <c r="A453" s="3" t="s">
        <v>388</v>
      </c>
      <c r="B453" s="1" t="s">
        <v>626</v>
      </c>
      <c r="C453" s="1">
        <v>96.3</v>
      </c>
      <c r="D453" s="1">
        <v>0</v>
      </c>
      <c r="E453" s="1">
        <v>0</v>
      </c>
      <c r="F453" s="1">
        <v>0</v>
      </c>
      <c r="G453" s="1">
        <v>3</v>
      </c>
      <c r="H453" s="1">
        <v>0</v>
      </c>
      <c r="I453" s="1">
        <v>0</v>
      </c>
      <c r="J453" s="1">
        <v>0.2</v>
      </c>
      <c r="K453" s="1">
        <v>0</v>
      </c>
      <c r="L453" s="1">
        <v>0</v>
      </c>
      <c r="M453" s="1">
        <v>0</v>
      </c>
      <c r="N453" s="1">
        <v>0</v>
      </c>
      <c r="O453" s="1">
        <v>0.5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3">
        <v>160</v>
      </c>
      <c r="AI453" s="3">
        <v>244.2</v>
      </c>
      <c r="AJ453" s="3">
        <v>36.700000000000003</v>
      </c>
    </row>
    <row r="454" spans="1:36" s="3" customFormat="1" x14ac:dyDescent="0.2">
      <c r="A454" s="3" t="s">
        <v>389</v>
      </c>
      <c r="B454" s="1" t="s">
        <v>626</v>
      </c>
      <c r="C454" s="1">
        <v>96.3</v>
      </c>
      <c r="D454" s="1">
        <v>0</v>
      </c>
      <c r="E454" s="1">
        <v>0</v>
      </c>
      <c r="F454" s="1">
        <v>0</v>
      </c>
      <c r="G454" s="1">
        <v>3</v>
      </c>
      <c r="H454" s="1">
        <v>0</v>
      </c>
      <c r="I454" s="1">
        <v>0</v>
      </c>
      <c r="J454" s="1">
        <v>0.2</v>
      </c>
      <c r="K454" s="1">
        <v>0</v>
      </c>
      <c r="L454" s="1">
        <v>0</v>
      </c>
      <c r="M454" s="1">
        <v>0</v>
      </c>
      <c r="N454" s="1">
        <v>0</v>
      </c>
      <c r="O454" s="1">
        <v>0.5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3">
        <v>206.1</v>
      </c>
      <c r="AI454" s="3">
        <v>321.60000000000002</v>
      </c>
      <c r="AJ454" s="3">
        <v>20.399999999999999</v>
      </c>
    </row>
    <row r="455" spans="1:36" s="3" customFormat="1" x14ac:dyDescent="0.2">
      <c r="A455" s="3" t="s">
        <v>158</v>
      </c>
      <c r="B455" s="1" t="s">
        <v>629</v>
      </c>
      <c r="C455" s="1">
        <v>90.7</v>
      </c>
      <c r="D455" s="1">
        <v>0</v>
      </c>
      <c r="E455" s="1">
        <v>0</v>
      </c>
      <c r="F455" s="1">
        <v>0</v>
      </c>
      <c r="G455" s="1">
        <v>3</v>
      </c>
      <c r="H455" s="1">
        <v>0</v>
      </c>
      <c r="I455" s="1">
        <v>6</v>
      </c>
      <c r="J455" s="1">
        <v>0</v>
      </c>
      <c r="K455" s="1">
        <v>0</v>
      </c>
      <c r="L455" s="1">
        <v>0</v>
      </c>
      <c r="M455" s="1">
        <v>0</v>
      </c>
      <c r="N455" s="1">
        <v>0.3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3">
        <v>75</v>
      </c>
      <c r="AI455" s="3">
        <v>180</v>
      </c>
      <c r="AJ455" s="3">
        <v>4</v>
      </c>
    </row>
    <row r="456" spans="1:36" s="3" customFormat="1" x14ac:dyDescent="0.2">
      <c r="A456" s="3" t="s">
        <v>390</v>
      </c>
      <c r="B456" s="1" t="s">
        <v>627</v>
      </c>
      <c r="C456" s="1">
        <v>90.35</v>
      </c>
      <c r="D456" s="1">
        <v>0</v>
      </c>
      <c r="E456" s="1">
        <v>0</v>
      </c>
      <c r="F456" s="1">
        <v>0</v>
      </c>
      <c r="G456" s="1">
        <v>3</v>
      </c>
      <c r="H456" s="1">
        <v>0</v>
      </c>
      <c r="I456" s="1">
        <v>6.4</v>
      </c>
      <c r="J456" s="1">
        <v>0</v>
      </c>
      <c r="K456" s="1">
        <v>0</v>
      </c>
      <c r="L456" s="1">
        <v>0</v>
      </c>
      <c r="M456" s="1">
        <v>0</v>
      </c>
      <c r="N456" s="1">
        <v>0.25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3">
        <v>81</v>
      </c>
      <c r="AI456" s="3">
        <v>190</v>
      </c>
      <c r="AJ456" s="3">
        <v>4.2</v>
      </c>
    </row>
    <row r="457" spans="1:36" s="3" customFormat="1" x14ac:dyDescent="0.2">
      <c r="A457" s="3" t="s">
        <v>391</v>
      </c>
      <c r="B457" s="1" t="s">
        <v>625</v>
      </c>
      <c r="C457" s="1">
        <v>90.35</v>
      </c>
      <c r="D457" s="1">
        <v>0</v>
      </c>
      <c r="E457" s="1">
        <v>0</v>
      </c>
      <c r="F457" s="1">
        <v>0</v>
      </c>
      <c r="G457" s="1">
        <v>3</v>
      </c>
      <c r="H457" s="1">
        <v>0</v>
      </c>
      <c r="I457" s="1">
        <v>6.4</v>
      </c>
      <c r="J457" s="1">
        <v>0</v>
      </c>
      <c r="K457" s="1">
        <v>0</v>
      </c>
      <c r="L457" s="1">
        <v>0</v>
      </c>
      <c r="M457" s="1">
        <v>0</v>
      </c>
      <c r="N457" s="1">
        <v>0.25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3">
        <v>95</v>
      </c>
      <c r="AI457" s="3">
        <v>200</v>
      </c>
      <c r="AJ457" s="3">
        <v>2.2000000000000002</v>
      </c>
    </row>
    <row r="458" spans="1:36" s="3" customFormat="1" x14ac:dyDescent="0.2">
      <c r="A458" s="3" t="s">
        <v>392</v>
      </c>
      <c r="B458" s="1" t="s">
        <v>625</v>
      </c>
      <c r="C458" s="1">
        <v>90.35</v>
      </c>
      <c r="D458" s="1">
        <v>0</v>
      </c>
      <c r="E458" s="1">
        <v>0</v>
      </c>
      <c r="F458" s="1">
        <v>0</v>
      </c>
      <c r="G458" s="1">
        <v>3</v>
      </c>
      <c r="H458" s="1">
        <v>0</v>
      </c>
      <c r="I458" s="1">
        <v>6.4</v>
      </c>
      <c r="J458" s="1">
        <v>0</v>
      </c>
      <c r="K458" s="1">
        <v>0</v>
      </c>
      <c r="L458" s="1">
        <v>0</v>
      </c>
      <c r="M458" s="1">
        <v>0</v>
      </c>
      <c r="N458" s="1">
        <v>0.25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3">
        <v>120</v>
      </c>
      <c r="AI458" s="3">
        <v>260</v>
      </c>
      <c r="AJ458" s="3">
        <v>3.8</v>
      </c>
    </row>
    <row r="459" spans="1:36" s="3" customFormat="1" x14ac:dyDescent="0.2">
      <c r="A459" s="3" t="s">
        <v>393</v>
      </c>
      <c r="B459" s="1" t="s">
        <v>626</v>
      </c>
      <c r="C459" s="1">
        <v>96.8</v>
      </c>
      <c r="D459" s="1">
        <v>0</v>
      </c>
      <c r="E459" s="1">
        <v>0</v>
      </c>
      <c r="F459" s="1">
        <v>0.4</v>
      </c>
      <c r="G459" s="1">
        <v>2.5</v>
      </c>
      <c r="H459" s="1">
        <v>0</v>
      </c>
      <c r="I459" s="1">
        <v>0</v>
      </c>
      <c r="J459" s="1">
        <v>0.3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3">
        <v>325</v>
      </c>
      <c r="AI459" s="3">
        <v>341</v>
      </c>
      <c r="AJ459" s="3">
        <v>15</v>
      </c>
    </row>
    <row r="460" spans="1:36" s="3" customFormat="1" x14ac:dyDescent="0.2">
      <c r="A460" s="3" t="s">
        <v>394</v>
      </c>
      <c r="B460" s="1" t="s">
        <v>629</v>
      </c>
      <c r="C460" s="1">
        <v>97.018291160000004</v>
      </c>
      <c r="D460" s="1">
        <v>0</v>
      </c>
      <c r="E460" s="1">
        <v>0</v>
      </c>
      <c r="F460" s="1">
        <v>0</v>
      </c>
      <c r="G460" s="1">
        <v>2.0295665199999999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0.95214231999999999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3">
        <v>142.5</v>
      </c>
      <c r="AI460" s="3">
        <v>232.5</v>
      </c>
      <c r="AJ460" s="3">
        <v>10</v>
      </c>
    </row>
    <row r="461" spans="1:36" s="3" customFormat="1" x14ac:dyDescent="0.2">
      <c r="A461" s="3" t="s">
        <v>396</v>
      </c>
      <c r="B461" s="1" t="s">
        <v>626</v>
      </c>
      <c r="C461" s="1">
        <v>96</v>
      </c>
      <c r="D461" s="1">
        <v>0</v>
      </c>
      <c r="E461" s="1">
        <v>0</v>
      </c>
      <c r="F461" s="1">
        <v>0</v>
      </c>
      <c r="G461" s="1">
        <v>2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2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3">
        <v>380</v>
      </c>
      <c r="AI461" s="3">
        <v>410</v>
      </c>
      <c r="AJ461" s="3">
        <v>23</v>
      </c>
    </row>
    <row r="462" spans="1:36" s="3" customFormat="1" x14ac:dyDescent="0.2">
      <c r="A462" s="3" t="s">
        <v>397</v>
      </c>
      <c r="B462" s="1" t="s">
        <v>626</v>
      </c>
      <c r="C462" s="1">
        <v>86</v>
      </c>
      <c r="D462" s="1">
        <v>0</v>
      </c>
      <c r="E462" s="1">
        <v>0</v>
      </c>
      <c r="F462" s="1">
        <v>0</v>
      </c>
      <c r="G462" s="1">
        <v>2</v>
      </c>
      <c r="H462" s="1">
        <v>4</v>
      </c>
      <c r="I462" s="1">
        <v>8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3">
        <v>371</v>
      </c>
      <c r="AI462" s="3">
        <v>415</v>
      </c>
      <c r="AJ462" s="3">
        <v>9.1</v>
      </c>
    </row>
    <row r="463" spans="1:36" s="3" customFormat="1" x14ac:dyDescent="0.2">
      <c r="A463" s="3" t="s">
        <v>395</v>
      </c>
      <c r="B463" s="1" t="s">
        <v>628</v>
      </c>
      <c r="C463" s="1">
        <v>97</v>
      </c>
      <c r="D463" s="1">
        <v>0</v>
      </c>
      <c r="E463" s="1">
        <v>0</v>
      </c>
      <c r="F463" s="1">
        <v>0</v>
      </c>
      <c r="G463" s="1">
        <v>2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3">
        <v>120</v>
      </c>
      <c r="AI463" s="3">
        <v>240</v>
      </c>
      <c r="AJ463" s="3">
        <v>11</v>
      </c>
    </row>
    <row r="464" spans="1:36" s="3" customFormat="1" x14ac:dyDescent="0.2">
      <c r="A464" s="3" t="s">
        <v>395</v>
      </c>
      <c r="B464" s="1" t="s">
        <v>625</v>
      </c>
      <c r="C464" s="1">
        <v>97</v>
      </c>
      <c r="D464" s="1">
        <v>0</v>
      </c>
      <c r="E464" s="1">
        <v>0</v>
      </c>
      <c r="F464" s="1">
        <v>0</v>
      </c>
      <c r="G464" s="1">
        <v>2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3">
        <v>165</v>
      </c>
      <c r="AI464" s="3">
        <v>250</v>
      </c>
      <c r="AJ464" s="3">
        <v>6</v>
      </c>
    </row>
    <row r="465" spans="1:36" s="3" customFormat="1" x14ac:dyDescent="0.2">
      <c r="A465" s="3" t="s">
        <v>395</v>
      </c>
      <c r="B465" s="1" t="s">
        <v>626</v>
      </c>
      <c r="C465" s="1">
        <v>97</v>
      </c>
      <c r="D465" s="1">
        <v>0</v>
      </c>
      <c r="E465" s="1">
        <v>0</v>
      </c>
      <c r="F465" s="1">
        <v>0</v>
      </c>
      <c r="G465" s="1">
        <v>2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3">
        <v>155</v>
      </c>
      <c r="AI465" s="3">
        <v>235</v>
      </c>
      <c r="AJ465" s="3">
        <v>8</v>
      </c>
    </row>
    <row r="466" spans="1:36" s="3" customFormat="1" x14ac:dyDescent="0.2">
      <c r="A466" s="3" t="s">
        <v>395</v>
      </c>
      <c r="B466" s="1" t="s">
        <v>628</v>
      </c>
      <c r="C466" s="1">
        <v>97</v>
      </c>
      <c r="D466" s="1">
        <v>0</v>
      </c>
      <c r="E466" s="1">
        <v>0</v>
      </c>
      <c r="F466" s="1">
        <v>0</v>
      </c>
      <c r="G466" s="1">
        <v>2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3">
        <v>155</v>
      </c>
      <c r="AI466" s="3">
        <v>200</v>
      </c>
      <c r="AJ466" s="3">
        <v>9</v>
      </c>
    </row>
    <row r="467" spans="1:36" s="3" customFormat="1" x14ac:dyDescent="0.2">
      <c r="A467" s="3" t="s">
        <v>395</v>
      </c>
      <c r="B467" s="1" t="s">
        <v>626</v>
      </c>
      <c r="C467" s="1">
        <v>97.5</v>
      </c>
      <c r="D467" s="1">
        <v>0</v>
      </c>
      <c r="E467" s="1">
        <v>0</v>
      </c>
      <c r="F467" s="1">
        <v>0</v>
      </c>
      <c r="G467" s="1">
        <v>2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0.5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3">
        <v>155</v>
      </c>
      <c r="AI467" s="3">
        <v>258</v>
      </c>
      <c r="AJ467" s="3">
        <v>23</v>
      </c>
    </row>
    <row r="468" spans="1:36" s="3" customFormat="1" x14ac:dyDescent="0.2">
      <c r="A468" s="3" t="s">
        <v>398</v>
      </c>
      <c r="B468" s="1" t="s">
        <v>628</v>
      </c>
      <c r="C468" s="1">
        <v>97.5</v>
      </c>
      <c r="D468" s="1">
        <v>0</v>
      </c>
      <c r="E468" s="1">
        <v>0</v>
      </c>
      <c r="F468" s="1">
        <v>0</v>
      </c>
      <c r="G468" s="1">
        <v>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0.5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3">
        <v>117</v>
      </c>
      <c r="AI468" s="3">
        <v>241</v>
      </c>
      <c r="AJ468" s="3">
        <v>11</v>
      </c>
    </row>
    <row r="469" spans="1:36" s="3" customFormat="1" x14ac:dyDescent="0.2">
      <c r="A469" s="3" t="s">
        <v>399</v>
      </c>
      <c r="B469" s="1" t="s">
        <v>626</v>
      </c>
      <c r="C469" s="1">
        <v>97.5</v>
      </c>
      <c r="D469" s="1">
        <v>0</v>
      </c>
      <c r="E469" s="1">
        <v>0</v>
      </c>
      <c r="F469" s="1">
        <v>0</v>
      </c>
      <c r="G469" s="1">
        <v>2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0.5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3">
        <v>152</v>
      </c>
      <c r="AI469" s="3">
        <v>234</v>
      </c>
      <c r="AJ469" s="3">
        <v>8</v>
      </c>
    </row>
    <row r="470" spans="1:36" s="3" customFormat="1" x14ac:dyDescent="0.2">
      <c r="A470" s="3" t="s">
        <v>399</v>
      </c>
      <c r="B470" s="1" t="s">
        <v>628</v>
      </c>
      <c r="C470" s="1">
        <v>97.5</v>
      </c>
      <c r="D470" s="1">
        <v>0</v>
      </c>
      <c r="E470" s="1">
        <v>0</v>
      </c>
      <c r="F470" s="1">
        <v>0</v>
      </c>
      <c r="G470" s="1">
        <v>2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0.5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3">
        <v>124</v>
      </c>
      <c r="AI470" s="3">
        <v>200</v>
      </c>
      <c r="AJ470" s="3">
        <v>9</v>
      </c>
    </row>
    <row r="471" spans="1:36" s="3" customFormat="1" x14ac:dyDescent="0.2">
      <c r="A471" s="3" t="s">
        <v>400</v>
      </c>
      <c r="B471" s="1" t="s">
        <v>628</v>
      </c>
      <c r="C471" s="1">
        <v>97.5</v>
      </c>
      <c r="D471" s="1">
        <v>0</v>
      </c>
      <c r="E471" s="1">
        <v>0</v>
      </c>
      <c r="F471" s="1">
        <v>0</v>
      </c>
      <c r="G471" s="1">
        <v>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0.5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3">
        <v>165</v>
      </c>
      <c r="AI471" s="3">
        <v>248</v>
      </c>
      <c r="AJ471" s="3">
        <v>6</v>
      </c>
    </row>
    <row r="472" spans="1:36" s="3" customFormat="1" x14ac:dyDescent="0.2">
      <c r="A472" s="3" t="s">
        <v>401</v>
      </c>
      <c r="B472" s="1" t="s">
        <v>625</v>
      </c>
      <c r="C472" s="1">
        <v>88.5</v>
      </c>
      <c r="D472" s="1">
        <v>0</v>
      </c>
      <c r="E472" s="1">
        <v>0</v>
      </c>
      <c r="F472" s="1">
        <v>0</v>
      </c>
      <c r="G472" s="1">
        <v>2</v>
      </c>
      <c r="H472" s="1">
        <v>0</v>
      </c>
      <c r="I472" s="1">
        <v>9.2750000000000004</v>
      </c>
      <c r="J472" s="1">
        <v>0</v>
      </c>
      <c r="K472" s="1">
        <v>0</v>
      </c>
      <c r="L472" s="1">
        <v>0</v>
      </c>
      <c r="M472" s="1">
        <v>0</v>
      </c>
      <c r="N472" s="1">
        <v>0.22500000000000003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3">
        <v>131</v>
      </c>
      <c r="AI472" s="3">
        <v>196.5</v>
      </c>
      <c r="AJ472" s="3">
        <v>2</v>
      </c>
    </row>
    <row r="473" spans="1:36" s="3" customFormat="1" ht="16" thickBot="1" x14ac:dyDescent="0.25">
      <c r="A473" s="1" t="s">
        <v>402</v>
      </c>
      <c r="B473" s="1" t="s">
        <v>628</v>
      </c>
      <c r="C473" s="1">
        <v>97</v>
      </c>
      <c r="D473" s="1">
        <v>0</v>
      </c>
      <c r="E473" s="1">
        <v>0</v>
      </c>
      <c r="F473" s="1">
        <v>0</v>
      </c>
      <c r="G473" s="1">
        <v>2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164</v>
      </c>
      <c r="AI473" s="1">
        <v>249</v>
      </c>
      <c r="AJ473" s="1">
        <v>36.4</v>
      </c>
    </row>
    <row r="474" spans="1:36" s="3" customFormat="1" x14ac:dyDescent="0.2">
      <c r="A474" s="3" t="s">
        <v>403</v>
      </c>
      <c r="B474" s="1" t="s">
        <v>629</v>
      </c>
      <c r="C474" s="1">
        <v>95.05</v>
      </c>
      <c r="D474" s="1">
        <v>0</v>
      </c>
      <c r="E474" s="1">
        <v>0</v>
      </c>
      <c r="F474" s="1">
        <v>0</v>
      </c>
      <c r="G474" s="1">
        <v>1.95</v>
      </c>
      <c r="H474" s="1">
        <v>1.9799999999999998</v>
      </c>
      <c r="I474" s="1">
        <v>0</v>
      </c>
      <c r="J474" s="1">
        <v>1.02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8">
        <v>42</v>
      </c>
      <c r="AI474" s="9">
        <v>57</v>
      </c>
      <c r="AJ474" s="10">
        <v>0.9</v>
      </c>
    </row>
    <row r="475" spans="1:36" s="3" customFormat="1" x14ac:dyDescent="0.2">
      <c r="A475" s="3" t="s">
        <v>404</v>
      </c>
      <c r="B475" s="1" t="s">
        <v>625</v>
      </c>
      <c r="C475" s="1">
        <v>95.05</v>
      </c>
      <c r="D475" s="1">
        <v>0</v>
      </c>
      <c r="E475" s="1">
        <v>0</v>
      </c>
      <c r="F475" s="1">
        <v>0</v>
      </c>
      <c r="G475" s="1">
        <v>1.95</v>
      </c>
      <c r="H475" s="1">
        <v>1.9799999999999998</v>
      </c>
      <c r="I475" s="1">
        <v>0</v>
      </c>
      <c r="J475" s="1">
        <v>1.02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1">
        <v>25</v>
      </c>
      <c r="AI475" s="3">
        <v>52</v>
      </c>
      <c r="AJ475" s="12">
        <v>2.4</v>
      </c>
    </row>
    <row r="476" spans="1:36" s="3" customFormat="1" ht="16" thickBot="1" x14ac:dyDescent="0.25">
      <c r="A476" s="3" t="s">
        <v>405</v>
      </c>
      <c r="B476" s="1" t="s">
        <v>626</v>
      </c>
      <c r="C476" s="1">
        <v>95.05</v>
      </c>
      <c r="D476" s="1">
        <v>0</v>
      </c>
      <c r="E476" s="1">
        <v>0</v>
      </c>
      <c r="F476" s="1">
        <v>0</v>
      </c>
      <c r="G476" s="1">
        <v>1.95</v>
      </c>
      <c r="H476" s="1">
        <v>1.9799999999999998</v>
      </c>
      <c r="I476" s="1">
        <v>0</v>
      </c>
      <c r="J476" s="1">
        <v>1.02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3">
        <v>218</v>
      </c>
      <c r="AI476" s="14">
        <v>285</v>
      </c>
      <c r="AJ476" s="15">
        <v>23</v>
      </c>
    </row>
    <row r="477" spans="1:36" s="3" customFormat="1" x14ac:dyDescent="0.2">
      <c r="A477" s="3" t="s">
        <v>406</v>
      </c>
      <c r="B477" s="1" t="s">
        <v>630</v>
      </c>
      <c r="C477" s="1">
        <v>88.8</v>
      </c>
      <c r="D477" s="1">
        <v>0</v>
      </c>
      <c r="E477" s="1">
        <v>0</v>
      </c>
      <c r="F477" s="1">
        <v>0</v>
      </c>
      <c r="G477" s="1">
        <v>1.05</v>
      </c>
      <c r="H477" s="1">
        <v>0</v>
      </c>
      <c r="I477" s="1">
        <v>0.93</v>
      </c>
      <c r="J477" s="1">
        <v>0</v>
      </c>
      <c r="K477" s="1">
        <v>0</v>
      </c>
      <c r="L477" s="1">
        <v>0</v>
      </c>
      <c r="M477" s="1">
        <v>0</v>
      </c>
      <c r="N477" s="1">
        <v>0.18</v>
      </c>
      <c r="O477" s="1">
        <v>0</v>
      </c>
      <c r="P477" s="1">
        <v>0</v>
      </c>
      <c r="Q477" s="1">
        <v>0</v>
      </c>
      <c r="R477" s="1">
        <v>0</v>
      </c>
      <c r="S477" s="1">
        <v>9.0399999999999991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3">
        <v>105</v>
      </c>
      <c r="AI477" s="3">
        <v>145</v>
      </c>
      <c r="AJ477" s="3">
        <v>25</v>
      </c>
    </row>
    <row r="478" spans="1:36" s="3" customFormat="1" x14ac:dyDescent="0.2">
      <c r="A478" s="3" t="s">
        <v>407</v>
      </c>
      <c r="B478" s="1" t="s">
        <v>630</v>
      </c>
      <c r="C478" s="1">
        <v>88.271000000000001</v>
      </c>
      <c r="D478" s="1">
        <v>0</v>
      </c>
      <c r="E478" s="1">
        <v>0</v>
      </c>
      <c r="F478" s="1">
        <v>0</v>
      </c>
      <c r="G478" s="1">
        <v>1.02</v>
      </c>
      <c r="H478" s="1">
        <v>0</v>
      </c>
      <c r="I478" s="1">
        <v>5.0000000000000001E-3</v>
      </c>
      <c r="J478" s="1">
        <v>0</v>
      </c>
      <c r="K478" s="1">
        <v>0</v>
      </c>
      <c r="L478" s="1">
        <v>0</v>
      </c>
      <c r="M478" s="1">
        <v>0</v>
      </c>
      <c r="N478" s="1">
        <v>4.0000000000000001E-3</v>
      </c>
      <c r="O478" s="1">
        <v>0</v>
      </c>
      <c r="P478" s="1">
        <v>0</v>
      </c>
      <c r="Q478" s="1">
        <v>0</v>
      </c>
      <c r="R478" s="1">
        <v>0</v>
      </c>
      <c r="S478" s="1">
        <v>10.7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3">
        <v>100</v>
      </c>
      <c r="AI478" s="3">
        <v>130</v>
      </c>
      <c r="AJ478" s="3">
        <v>32</v>
      </c>
    </row>
    <row r="479" spans="1:36" s="3" customFormat="1" x14ac:dyDescent="0.2">
      <c r="A479" s="3" t="s">
        <v>408</v>
      </c>
      <c r="B479" s="1" t="s">
        <v>626</v>
      </c>
      <c r="C479" s="1">
        <v>97</v>
      </c>
      <c r="D479" s="1">
        <v>0</v>
      </c>
      <c r="E479" s="1">
        <v>0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2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3">
        <v>342</v>
      </c>
      <c r="AI479" s="3">
        <v>360</v>
      </c>
      <c r="AJ479" s="3">
        <v>6</v>
      </c>
    </row>
    <row r="480" spans="1:36" s="3" customFormat="1" x14ac:dyDescent="0.2">
      <c r="A480" s="3" t="s">
        <v>409</v>
      </c>
      <c r="B480" s="1" t="s">
        <v>626</v>
      </c>
      <c r="C480" s="1">
        <v>88.5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9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1.5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3">
        <v>468</v>
      </c>
      <c r="AI480" s="3">
        <v>541</v>
      </c>
      <c r="AJ480" s="3">
        <v>5.4</v>
      </c>
    </row>
    <row r="481" spans="1:36" s="3" customFormat="1" x14ac:dyDescent="0.2">
      <c r="A481" s="1" t="s">
        <v>743</v>
      </c>
      <c r="B481" s="1" t="s">
        <v>626</v>
      </c>
      <c r="C481" s="1">
        <v>91.11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2.5</v>
      </c>
      <c r="J481" s="1">
        <v>0.04</v>
      </c>
      <c r="K481" s="1">
        <v>0</v>
      </c>
      <c r="L481" s="1">
        <v>0</v>
      </c>
      <c r="M481" s="1">
        <v>0</v>
      </c>
      <c r="N481" s="1">
        <v>0.2</v>
      </c>
      <c r="O481" s="1">
        <v>0</v>
      </c>
      <c r="P481" s="1">
        <v>0</v>
      </c>
      <c r="Q481" s="1">
        <v>0.05</v>
      </c>
      <c r="R481" s="1">
        <v>0.1</v>
      </c>
      <c r="S481" s="1">
        <v>5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161</v>
      </c>
      <c r="AI481" s="1">
        <v>229</v>
      </c>
      <c r="AJ481" s="1">
        <v>18</v>
      </c>
    </row>
    <row r="482" spans="1:36" s="3" customFormat="1" x14ac:dyDescent="0.2">
      <c r="A482" s="1" t="s">
        <v>744</v>
      </c>
      <c r="B482" s="1" t="s">
        <v>626</v>
      </c>
      <c r="C482" s="1">
        <v>93.11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2.5</v>
      </c>
      <c r="J482" s="1">
        <v>0.04</v>
      </c>
      <c r="K482" s="1">
        <v>0</v>
      </c>
      <c r="L482" s="1">
        <v>0</v>
      </c>
      <c r="M482" s="1">
        <v>0</v>
      </c>
      <c r="N482" s="1">
        <v>0.2</v>
      </c>
      <c r="O482" s="1">
        <v>0</v>
      </c>
      <c r="P482" s="1">
        <v>0</v>
      </c>
      <c r="Q482" s="1">
        <v>0.05</v>
      </c>
      <c r="R482" s="1">
        <v>0.1</v>
      </c>
      <c r="S482" s="1">
        <v>3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157</v>
      </c>
      <c r="AI482" s="1">
        <v>232</v>
      </c>
      <c r="AJ482" s="1">
        <v>18</v>
      </c>
    </row>
    <row r="483" spans="1:36" s="3" customFormat="1" x14ac:dyDescent="0.2">
      <c r="A483" s="1" t="s">
        <v>745</v>
      </c>
      <c r="B483" s="1" t="s">
        <v>626</v>
      </c>
      <c r="C483" s="1">
        <v>95.11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2.5</v>
      </c>
      <c r="J483" s="1">
        <v>0.04</v>
      </c>
      <c r="K483" s="1">
        <v>0</v>
      </c>
      <c r="L483" s="1">
        <v>0</v>
      </c>
      <c r="M483" s="1">
        <v>0</v>
      </c>
      <c r="N483" s="1">
        <v>0.2</v>
      </c>
      <c r="O483" s="1">
        <v>0</v>
      </c>
      <c r="P483" s="1">
        <v>0</v>
      </c>
      <c r="Q483" s="1">
        <v>0.05</v>
      </c>
      <c r="R483" s="1">
        <v>0.1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168</v>
      </c>
      <c r="AI483" s="1">
        <v>246</v>
      </c>
      <c r="AJ483" s="1">
        <v>14</v>
      </c>
    </row>
    <row r="484" spans="1:36" s="3" customFormat="1" x14ac:dyDescent="0.2">
      <c r="A484" s="1" t="s">
        <v>374</v>
      </c>
      <c r="B484" s="1" t="s">
        <v>626</v>
      </c>
      <c r="C484" s="1">
        <v>85</v>
      </c>
      <c r="D484" s="1">
        <v>5</v>
      </c>
      <c r="E484" s="1">
        <v>0</v>
      </c>
      <c r="F484" s="1">
        <v>0</v>
      </c>
      <c r="G484" s="1">
        <v>1</v>
      </c>
      <c r="H484" s="1">
        <v>0</v>
      </c>
      <c r="I484" s="1">
        <v>9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379</v>
      </c>
      <c r="AI484" s="1">
        <v>426</v>
      </c>
      <c r="AJ484" s="1">
        <v>13</v>
      </c>
    </row>
    <row r="485" spans="1:36" s="3" customFormat="1" x14ac:dyDescent="0.2">
      <c r="A485" s="3" t="s">
        <v>410</v>
      </c>
      <c r="B485" s="1" t="s">
        <v>626</v>
      </c>
      <c r="C485" s="1">
        <v>97.5</v>
      </c>
      <c r="D485" s="1">
        <v>0</v>
      </c>
      <c r="E485" s="1">
        <v>0.5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3">
        <v>289</v>
      </c>
      <c r="AI485" s="3">
        <v>302</v>
      </c>
      <c r="AJ485" s="3">
        <v>6.2</v>
      </c>
    </row>
    <row r="486" spans="1:36" s="3" customFormat="1" x14ac:dyDescent="0.2">
      <c r="A486" s="3" t="s">
        <v>411</v>
      </c>
      <c r="B486" s="1" t="s">
        <v>625</v>
      </c>
      <c r="C486" s="1">
        <v>95.35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3.125</v>
      </c>
      <c r="J486" s="1">
        <v>0</v>
      </c>
      <c r="K486" s="1">
        <v>0</v>
      </c>
      <c r="L486" s="1">
        <v>0</v>
      </c>
      <c r="M486" s="1">
        <v>0</v>
      </c>
      <c r="N486" s="1">
        <v>0.52500000000000002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3">
        <v>120</v>
      </c>
      <c r="AI486" s="3">
        <v>240</v>
      </c>
      <c r="AJ486" s="3">
        <v>12</v>
      </c>
    </row>
    <row r="487" spans="1:36" s="3" customFormat="1" x14ac:dyDescent="0.2">
      <c r="A487" s="3" t="s">
        <v>412</v>
      </c>
      <c r="B487" s="1" t="s">
        <v>627</v>
      </c>
      <c r="C487" s="1">
        <v>95.35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3.125</v>
      </c>
      <c r="J487" s="1">
        <v>0</v>
      </c>
      <c r="K487" s="1">
        <v>0</v>
      </c>
      <c r="L487" s="1">
        <v>0</v>
      </c>
      <c r="M487" s="1">
        <v>0</v>
      </c>
      <c r="N487" s="1">
        <v>0.52500000000000002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3">
        <v>150</v>
      </c>
      <c r="AI487" s="3">
        <v>250</v>
      </c>
      <c r="AJ487" s="3">
        <v>8.9</v>
      </c>
    </row>
    <row r="488" spans="1:36" s="3" customFormat="1" x14ac:dyDescent="0.2">
      <c r="A488" s="3" t="s">
        <v>413</v>
      </c>
      <c r="B488" s="1" t="s">
        <v>625</v>
      </c>
      <c r="C488" s="1">
        <v>95.35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3.125</v>
      </c>
      <c r="J488" s="1">
        <v>0</v>
      </c>
      <c r="K488" s="1">
        <v>0</v>
      </c>
      <c r="L488" s="1">
        <v>0</v>
      </c>
      <c r="M488" s="1">
        <v>0</v>
      </c>
      <c r="N488" s="1">
        <v>0.52500000000000002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3">
        <v>170</v>
      </c>
      <c r="AI488" s="3">
        <v>270</v>
      </c>
      <c r="AJ488" s="3">
        <v>5.6</v>
      </c>
    </row>
    <row r="489" spans="1:36" s="3" customFormat="1" x14ac:dyDescent="0.2">
      <c r="A489" s="3" t="s">
        <v>414</v>
      </c>
      <c r="B489" s="1" t="s">
        <v>625</v>
      </c>
      <c r="C489" s="1">
        <v>95.35</v>
      </c>
      <c r="D489" s="1">
        <v>0</v>
      </c>
      <c r="E489" s="1">
        <v>0</v>
      </c>
      <c r="F489" s="1">
        <v>0</v>
      </c>
      <c r="G489" s="1">
        <v>1</v>
      </c>
      <c r="H489" s="1">
        <v>0</v>
      </c>
      <c r="I489" s="1">
        <v>3.125</v>
      </c>
      <c r="J489" s="1">
        <v>0</v>
      </c>
      <c r="K489" s="1">
        <v>0</v>
      </c>
      <c r="L489" s="1">
        <v>0</v>
      </c>
      <c r="M489" s="1">
        <v>0</v>
      </c>
      <c r="N489" s="1">
        <v>0.52500000000000002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3">
        <v>180</v>
      </c>
      <c r="AI489" s="3">
        <v>270</v>
      </c>
      <c r="AJ489" s="3">
        <v>8.3000000000000007</v>
      </c>
    </row>
    <row r="490" spans="1:36" s="3" customFormat="1" x14ac:dyDescent="0.2">
      <c r="A490" s="3" t="s">
        <v>415</v>
      </c>
      <c r="B490" s="1" t="s">
        <v>625</v>
      </c>
      <c r="C490" s="1">
        <v>95.5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3.2250000000000001</v>
      </c>
      <c r="J490" s="1">
        <v>0</v>
      </c>
      <c r="K490" s="1">
        <v>0</v>
      </c>
      <c r="L490" s="1">
        <v>0</v>
      </c>
      <c r="M490" s="1">
        <v>0</v>
      </c>
      <c r="N490" s="1">
        <v>0.27500000000000002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3">
        <v>120</v>
      </c>
      <c r="AI490" s="3">
        <v>240</v>
      </c>
      <c r="AJ490" s="3">
        <v>11</v>
      </c>
    </row>
    <row r="491" spans="1:36" s="3" customFormat="1" x14ac:dyDescent="0.2">
      <c r="A491" s="3" t="s">
        <v>416</v>
      </c>
      <c r="B491" s="1" t="s">
        <v>627</v>
      </c>
      <c r="C491" s="1">
        <v>95.5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  <c r="I491" s="1">
        <v>3.2250000000000001</v>
      </c>
      <c r="J491" s="1">
        <v>0</v>
      </c>
      <c r="K491" s="1">
        <v>0</v>
      </c>
      <c r="L491" s="1">
        <v>0</v>
      </c>
      <c r="M491" s="1">
        <v>0</v>
      </c>
      <c r="N491" s="1">
        <v>0.27500000000000002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3">
        <v>160</v>
      </c>
      <c r="AI491" s="3">
        <v>260</v>
      </c>
      <c r="AJ491" s="3">
        <v>11</v>
      </c>
    </row>
    <row r="492" spans="1:36" s="3" customFormat="1" x14ac:dyDescent="0.2">
      <c r="A492" s="3" t="s">
        <v>417</v>
      </c>
      <c r="B492" s="1" t="s">
        <v>625</v>
      </c>
      <c r="C492" s="1">
        <v>95.5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3.2250000000000001</v>
      </c>
      <c r="J492" s="1">
        <v>0</v>
      </c>
      <c r="K492" s="1">
        <v>0</v>
      </c>
      <c r="L492" s="1">
        <v>0</v>
      </c>
      <c r="M492" s="1">
        <v>0</v>
      </c>
      <c r="N492" s="1">
        <v>0.27500000000000002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3">
        <v>160</v>
      </c>
      <c r="AI492" s="3">
        <v>270</v>
      </c>
      <c r="AJ492" s="3">
        <v>7.4</v>
      </c>
    </row>
    <row r="493" spans="1:36" s="3" customFormat="1" x14ac:dyDescent="0.2">
      <c r="A493" s="3" t="s">
        <v>111</v>
      </c>
      <c r="B493" s="1" t="s">
        <v>626</v>
      </c>
      <c r="C493" s="1">
        <v>89.8</v>
      </c>
      <c r="D493" s="1">
        <v>0</v>
      </c>
      <c r="E493" s="1">
        <v>0</v>
      </c>
      <c r="F493" s="1">
        <v>0</v>
      </c>
      <c r="G493" s="1">
        <v>1</v>
      </c>
      <c r="H493" s="1">
        <v>0</v>
      </c>
      <c r="I493" s="1">
        <v>9</v>
      </c>
      <c r="J493" s="1">
        <v>0</v>
      </c>
      <c r="K493" s="1">
        <v>0</v>
      </c>
      <c r="L493" s="1">
        <v>0</v>
      </c>
      <c r="M493" s="1">
        <v>0</v>
      </c>
      <c r="N493" s="1">
        <v>0.2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3">
        <v>416</v>
      </c>
      <c r="AI493" s="3">
        <v>486</v>
      </c>
      <c r="AJ493" s="3">
        <v>6.2</v>
      </c>
    </row>
    <row r="494" spans="1:36" s="3" customFormat="1" x14ac:dyDescent="0.2">
      <c r="A494" s="3" t="s">
        <v>111</v>
      </c>
      <c r="B494" s="1" t="s">
        <v>626</v>
      </c>
      <c r="C494" s="1">
        <v>89.8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9</v>
      </c>
      <c r="J494" s="1">
        <v>0</v>
      </c>
      <c r="K494" s="1">
        <v>0</v>
      </c>
      <c r="L494" s="1">
        <v>0</v>
      </c>
      <c r="M494" s="1">
        <v>0</v>
      </c>
      <c r="N494" s="1">
        <v>0.2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3">
        <v>348</v>
      </c>
      <c r="AI494" s="3">
        <v>422</v>
      </c>
      <c r="AJ494" s="3">
        <v>18.600000000000001</v>
      </c>
    </row>
    <row r="495" spans="1:36" s="3" customFormat="1" x14ac:dyDescent="0.2">
      <c r="A495" s="3" t="s">
        <v>185</v>
      </c>
      <c r="B495" s="1" t="s">
        <v>626</v>
      </c>
      <c r="C495" s="1">
        <v>85</v>
      </c>
      <c r="D495" s="1">
        <v>0</v>
      </c>
      <c r="E495" s="1">
        <v>0</v>
      </c>
      <c r="F495" s="1">
        <v>5</v>
      </c>
      <c r="G495" s="1">
        <v>1</v>
      </c>
      <c r="H495" s="1">
        <v>0</v>
      </c>
      <c r="I495" s="1">
        <v>9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3">
        <v>434</v>
      </c>
      <c r="AI495" s="3">
        <v>487</v>
      </c>
      <c r="AJ495" s="3">
        <v>6.5</v>
      </c>
    </row>
    <row r="496" spans="1:36" s="3" customFormat="1" x14ac:dyDescent="0.2">
      <c r="A496" s="3" t="s">
        <v>185</v>
      </c>
      <c r="B496" s="1" t="s">
        <v>626</v>
      </c>
      <c r="C496" s="1">
        <v>85</v>
      </c>
      <c r="D496" s="1">
        <v>0</v>
      </c>
      <c r="E496" s="1">
        <v>0</v>
      </c>
      <c r="F496" s="1">
        <v>5</v>
      </c>
      <c r="G496" s="1">
        <v>1</v>
      </c>
      <c r="H496" s="1">
        <v>0</v>
      </c>
      <c r="I496" s="1">
        <v>9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3">
        <v>351</v>
      </c>
      <c r="AI496" s="3">
        <v>402</v>
      </c>
      <c r="AJ496" s="3">
        <v>20</v>
      </c>
    </row>
    <row r="497" spans="1:36" s="3" customFormat="1" x14ac:dyDescent="0.2">
      <c r="A497" s="3" t="s">
        <v>185</v>
      </c>
      <c r="B497" s="1" t="s">
        <v>626</v>
      </c>
      <c r="C497" s="1">
        <v>85</v>
      </c>
      <c r="D497" s="1">
        <v>0</v>
      </c>
      <c r="E497" s="1">
        <v>0</v>
      </c>
      <c r="F497" s="1">
        <v>5</v>
      </c>
      <c r="G497" s="1">
        <v>1</v>
      </c>
      <c r="H497" s="1">
        <v>0</v>
      </c>
      <c r="I497" s="1">
        <v>9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3">
        <v>402</v>
      </c>
      <c r="AI497" s="3">
        <v>447</v>
      </c>
      <c r="AJ497" s="3">
        <v>7.6</v>
      </c>
    </row>
    <row r="498" spans="1:36" s="3" customFormat="1" x14ac:dyDescent="0.2">
      <c r="A498" s="3" t="s">
        <v>185</v>
      </c>
      <c r="B498" s="1" t="s">
        <v>626</v>
      </c>
      <c r="C498" s="1">
        <v>85</v>
      </c>
      <c r="D498" s="1">
        <v>0</v>
      </c>
      <c r="E498" s="1">
        <v>0</v>
      </c>
      <c r="F498" s="1">
        <v>5</v>
      </c>
      <c r="G498" s="1">
        <v>1</v>
      </c>
      <c r="H498" s="1">
        <v>0</v>
      </c>
      <c r="I498" s="1">
        <v>9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3">
        <v>334</v>
      </c>
      <c r="AI498" s="3">
        <v>396</v>
      </c>
      <c r="AJ498" s="3">
        <v>15.3</v>
      </c>
    </row>
    <row r="499" spans="1:36" s="3" customFormat="1" x14ac:dyDescent="0.2">
      <c r="A499" s="1" t="s">
        <v>418</v>
      </c>
      <c r="B499" s="1" t="s">
        <v>626</v>
      </c>
      <c r="C499" s="1">
        <v>85</v>
      </c>
      <c r="D499" s="1">
        <v>0</v>
      </c>
      <c r="E499" s="1">
        <v>0</v>
      </c>
      <c r="F499" s="1">
        <v>5</v>
      </c>
      <c r="G499" s="1">
        <v>1</v>
      </c>
      <c r="H499" s="1">
        <v>0</v>
      </c>
      <c r="I499" s="1">
        <v>9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342</v>
      </c>
      <c r="AI499" s="1">
        <v>410</v>
      </c>
      <c r="AJ499" s="1">
        <v>15.4</v>
      </c>
    </row>
    <row r="500" spans="1:36" s="3" customFormat="1" x14ac:dyDescent="0.2">
      <c r="A500" s="1" t="s">
        <v>402</v>
      </c>
      <c r="B500" s="1" t="s">
        <v>628</v>
      </c>
      <c r="C500" s="1">
        <v>98</v>
      </c>
      <c r="D500" s="1">
        <v>0</v>
      </c>
      <c r="E500" s="1">
        <v>0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182</v>
      </c>
      <c r="AI500" s="1">
        <v>232</v>
      </c>
      <c r="AJ500" s="1">
        <v>29.2</v>
      </c>
    </row>
    <row r="501" spans="1:36" s="3" customFormat="1" x14ac:dyDescent="0.2">
      <c r="A501" s="3" t="s">
        <v>419</v>
      </c>
      <c r="B501" s="1" t="s">
        <v>626</v>
      </c>
      <c r="C501" s="1">
        <v>98.5</v>
      </c>
      <c r="D501" s="1">
        <v>0</v>
      </c>
      <c r="E501" s="1">
        <v>0</v>
      </c>
      <c r="F501" s="1">
        <v>0</v>
      </c>
      <c r="G501" s="1">
        <v>1</v>
      </c>
      <c r="H501" s="1">
        <v>0</v>
      </c>
      <c r="I501" s="1">
        <v>0</v>
      </c>
      <c r="J501" s="1">
        <v>0.5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3">
        <v>297</v>
      </c>
      <c r="AI501" s="3">
        <v>300</v>
      </c>
      <c r="AJ501" s="3">
        <v>44</v>
      </c>
    </row>
    <row r="502" spans="1:36" s="3" customFormat="1" x14ac:dyDescent="0.2">
      <c r="A502" s="3" t="s">
        <v>111</v>
      </c>
      <c r="B502" s="1" t="s">
        <v>627</v>
      </c>
      <c r="C502" s="1">
        <v>90</v>
      </c>
      <c r="D502" s="1">
        <v>0</v>
      </c>
      <c r="E502" s="1">
        <v>0</v>
      </c>
      <c r="F502" s="1">
        <v>0</v>
      </c>
      <c r="G502" s="1">
        <v>1</v>
      </c>
      <c r="H502" s="1">
        <v>0</v>
      </c>
      <c r="I502" s="1">
        <v>9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3">
        <v>264</v>
      </c>
      <c r="AI502" s="3">
        <v>281</v>
      </c>
      <c r="AJ502" s="3">
        <v>0.6</v>
      </c>
    </row>
    <row r="503" spans="1:36" s="3" customFormat="1" x14ac:dyDescent="0.2">
      <c r="A503" s="3" t="s">
        <v>111</v>
      </c>
      <c r="B503" s="1" t="s">
        <v>627</v>
      </c>
      <c r="C503" s="1">
        <v>90</v>
      </c>
      <c r="D503" s="1">
        <v>0</v>
      </c>
      <c r="E503" s="1">
        <v>0</v>
      </c>
      <c r="F503" s="1">
        <v>0</v>
      </c>
      <c r="G503" s="1">
        <v>1</v>
      </c>
      <c r="H503" s="1">
        <v>0</v>
      </c>
      <c r="I503" s="1">
        <v>9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3">
        <v>263</v>
      </c>
      <c r="AI503" s="3">
        <v>297</v>
      </c>
      <c r="AJ503" s="3">
        <v>0.73</v>
      </c>
    </row>
    <row r="504" spans="1:36" s="3" customFormat="1" x14ac:dyDescent="0.2">
      <c r="A504" s="3" t="s">
        <v>111</v>
      </c>
      <c r="B504" s="1" t="s">
        <v>627</v>
      </c>
      <c r="C504" s="1">
        <v>90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9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3">
        <v>136</v>
      </c>
      <c r="AI504" s="3">
        <v>140</v>
      </c>
      <c r="AJ504" s="3">
        <v>0.47</v>
      </c>
    </row>
    <row r="505" spans="1:36" s="3" customFormat="1" x14ac:dyDescent="0.2">
      <c r="A505" s="3" t="s">
        <v>420</v>
      </c>
      <c r="B505" s="1" t="s">
        <v>625</v>
      </c>
      <c r="C505" s="1">
        <v>90</v>
      </c>
      <c r="D505" s="1">
        <v>0</v>
      </c>
      <c r="E505" s="1">
        <v>0</v>
      </c>
      <c r="F505" s="1">
        <v>0</v>
      </c>
      <c r="G505" s="1">
        <v>1</v>
      </c>
      <c r="H505" s="1">
        <v>0</v>
      </c>
      <c r="I505" s="1">
        <v>9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3">
        <v>122</v>
      </c>
      <c r="AI505" s="3">
        <v>243</v>
      </c>
      <c r="AJ505" s="3">
        <v>6.2</v>
      </c>
    </row>
    <row r="506" spans="1:36" s="3" customFormat="1" x14ac:dyDescent="0.2">
      <c r="A506" s="3" t="s">
        <v>421</v>
      </c>
      <c r="B506" s="1" t="s">
        <v>627</v>
      </c>
      <c r="C506" s="1">
        <v>90</v>
      </c>
      <c r="D506" s="1">
        <v>0</v>
      </c>
      <c r="E506" s="1">
        <v>0</v>
      </c>
      <c r="F506" s="1">
        <v>0</v>
      </c>
      <c r="G506" s="1">
        <v>1</v>
      </c>
      <c r="H506" s="1">
        <v>0</v>
      </c>
      <c r="I506" s="1">
        <v>9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3">
        <v>72</v>
      </c>
      <c r="AI506" s="3">
        <v>131</v>
      </c>
      <c r="AJ506" s="3">
        <v>2</v>
      </c>
    </row>
    <row r="507" spans="1:36" s="3" customFormat="1" x14ac:dyDescent="0.2">
      <c r="A507" s="3" t="s">
        <v>421</v>
      </c>
      <c r="B507" s="1" t="s">
        <v>625</v>
      </c>
      <c r="C507" s="1">
        <v>90</v>
      </c>
      <c r="D507" s="1">
        <v>0</v>
      </c>
      <c r="E507" s="1">
        <v>0</v>
      </c>
      <c r="F507" s="1">
        <v>0</v>
      </c>
      <c r="G507" s="1">
        <v>1</v>
      </c>
      <c r="H507" s="1">
        <v>0</v>
      </c>
      <c r="I507" s="1">
        <v>9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3">
        <v>108</v>
      </c>
      <c r="AI507" s="3">
        <v>235</v>
      </c>
      <c r="AJ507" s="3">
        <v>3</v>
      </c>
    </row>
    <row r="508" spans="1:36" s="3" customFormat="1" x14ac:dyDescent="0.2">
      <c r="A508" s="3" t="s">
        <v>421</v>
      </c>
      <c r="B508" s="1" t="s">
        <v>626</v>
      </c>
      <c r="C508" s="1">
        <v>90</v>
      </c>
      <c r="D508" s="1">
        <v>0</v>
      </c>
      <c r="E508" s="1">
        <v>0</v>
      </c>
      <c r="F508" s="1">
        <v>0</v>
      </c>
      <c r="G508" s="1">
        <v>1</v>
      </c>
      <c r="H508" s="1">
        <v>0</v>
      </c>
      <c r="I508" s="1">
        <v>9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3">
        <v>244</v>
      </c>
      <c r="AI508" s="3">
        <v>341</v>
      </c>
      <c r="AJ508" s="3">
        <v>13</v>
      </c>
    </row>
    <row r="509" spans="1:36" s="3" customFormat="1" x14ac:dyDescent="0.2">
      <c r="A509" s="3" t="s">
        <v>248</v>
      </c>
      <c r="B509" s="1" t="s">
        <v>626</v>
      </c>
      <c r="C509" s="1">
        <v>93</v>
      </c>
      <c r="D509" s="1">
        <v>0</v>
      </c>
      <c r="E509" s="1">
        <v>0</v>
      </c>
      <c r="F509" s="1">
        <v>0</v>
      </c>
      <c r="G509" s="1">
        <v>1</v>
      </c>
      <c r="H509" s="1">
        <v>0</v>
      </c>
      <c r="I509" s="1">
        <v>6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3">
        <v>190</v>
      </c>
      <c r="AI509" s="3">
        <v>270</v>
      </c>
      <c r="AJ509" s="3">
        <v>9</v>
      </c>
    </row>
    <row r="510" spans="1:36" s="3" customFormat="1" x14ac:dyDescent="0.2">
      <c r="A510" s="3" t="s">
        <v>203</v>
      </c>
      <c r="B510" s="1" t="s">
        <v>626</v>
      </c>
      <c r="C510" s="1">
        <v>96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3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3">
        <v>160</v>
      </c>
      <c r="AI510" s="3">
        <v>240</v>
      </c>
      <c r="AJ510" s="3">
        <v>10</v>
      </c>
    </row>
    <row r="511" spans="1:36" s="3" customFormat="1" x14ac:dyDescent="0.2">
      <c r="A511" s="3" t="s">
        <v>422</v>
      </c>
      <c r="B511" s="1" t="s">
        <v>628</v>
      </c>
      <c r="C511" s="1">
        <v>96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  <c r="I511" s="1">
        <v>3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3">
        <v>185</v>
      </c>
      <c r="AI511" s="3">
        <v>265.5</v>
      </c>
      <c r="AJ511" s="3">
        <v>16.5</v>
      </c>
    </row>
    <row r="512" spans="1:36" s="3" customFormat="1" x14ac:dyDescent="0.2">
      <c r="A512" s="3" t="s">
        <v>423</v>
      </c>
      <c r="B512" s="1" t="s">
        <v>630</v>
      </c>
      <c r="C512" s="1">
        <v>86.93</v>
      </c>
      <c r="D512" s="1">
        <v>0</v>
      </c>
      <c r="E512" s="1">
        <v>0</v>
      </c>
      <c r="F512" s="1">
        <v>0</v>
      </c>
      <c r="G512" s="1">
        <v>0.98999999999999988</v>
      </c>
      <c r="H512" s="1">
        <v>0</v>
      </c>
      <c r="I512" s="1">
        <v>2.82</v>
      </c>
      <c r="J512" s="1">
        <v>0</v>
      </c>
      <c r="K512" s="1">
        <v>0</v>
      </c>
      <c r="L512" s="1">
        <v>0</v>
      </c>
      <c r="M512" s="1">
        <v>0</v>
      </c>
      <c r="N512" s="1">
        <v>0.17</v>
      </c>
      <c r="O512" s="1">
        <v>0</v>
      </c>
      <c r="P512" s="1">
        <v>0</v>
      </c>
      <c r="Q512" s="1">
        <v>0</v>
      </c>
      <c r="R512" s="1">
        <v>0</v>
      </c>
      <c r="S512" s="1">
        <v>9.09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3">
        <v>110</v>
      </c>
      <c r="AI512" s="3">
        <v>160</v>
      </c>
      <c r="AJ512" s="3">
        <v>27</v>
      </c>
    </row>
    <row r="513" spans="1:36" s="3" customFormat="1" x14ac:dyDescent="0.2">
      <c r="A513" s="3" t="s">
        <v>424</v>
      </c>
      <c r="B513" s="1" t="s">
        <v>626</v>
      </c>
      <c r="C513" s="1">
        <v>83.83</v>
      </c>
      <c r="D513" s="1">
        <v>0</v>
      </c>
      <c r="E513" s="1">
        <v>0</v>
      </c>
      <c r="F513" s="1">
        <v>0</v>
      </c>
      <c r="G513" s="1">
        <v>0.98</v>
      </c>
      <c r="H513" s="1">
        <v>0</v>
      </c>
      <c r="I513" s="1">
        <v>15</v>
      </c>
      <c r="J513" s="1">
        <v>0</v>
      </c>
      <c r="K513" s="1">
        <v>0</v>
      </c>
      <c r="L513" s="1">
        <v>0</v>
      </c>
      <c r="M513" s="1">
        <v>0</v>
      </c>
      <c r="N513" s="1">
        <v>0.19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3">
        <v>387</v>
      </c>
      <c r="AI513" s="3">
        <v>395</v>
      </c>
      <c r="AJ513" s="3">
        <v>0.3</v>
      </c>
    </row>
    <row r="514" spans="1:36" s="3" customFormat="1" x14ac:dyDescent="0.2">
      <c r="A514" s="3" t="s">
        <v>425</v>
      </c>
      <c r="B514" s="1" t="s">
        <v>630</v>
      </c>
      <c r="C514" s="1">
        <v>90.055999999999997</v>
      </c>
      <c r="D514" s="1">
        <v>0</v>
      </c>
      <c r="E514" s="1">
        <v>0</v>
      </c>
      <c r="F514" s="1">
        <v>0</v>
      </c>
      <c r="G514" s="1">
        <v>0.96</v>
      </c>
      <c r="H514" s="1">
        <v>0</v>
      </c>
      <c r="I514" s="1">
        <v>4.0000000000000001E-3</v>
      </c>
      <c r="J514" s="1">
        <v>0</v>
      </c>
      <c r="K514" s="1">
        <v>0</v>
      </c>
      <c r="L514" s="1">
        <v>0</v>
      </c>
      <c r="M514" s="1">
        <v>0</v>
      </c>
      <c r="N514" s="1">
        <v>0.16</v>
      </c>
      <c r="O514" s="1">
        <v>0</v>
      </c>
      <c r="P514" s="1">
        <v>0</v>
      </c>
      <c r="Q514" s="1">
        <v>0</v>
      </c>
      <c r="R514" s="1">
        <v>0</v>
      </c>
      <c r="S514" s="1">
        <v>8.82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3">
        <v>90</v>
      </c>
      <c r="AI514" s="3">
        <v>130</v>
      </c>
      <c r="AJ514" s="3">
        <v>22</v>
      </c>
    </row>
    <row r="515" spans="1:36" s="3" customFormat="1" x14ac:dyDescent="0.2">
      <c r="A515" s="3" t="s">
        <v>426</v>
      </c>
      <c r="B515" s="1" t="s">
        <v>629</v>
      </c>
      <c r="C515" s="1">
        <v>92.1</v>
      </c>
      <c r="D515" s="1">
        <v>0</v>
      </c>
      <c r="E515" s="1">
        <v>0</v>
      </c>
      <c r="F515" s="1">
        <v>0</v>
      </c>
      <c r="G515" s="1">
        <v>0.95</v>
      </c>
      <c r="H515" s="1">
        <v>0</v>
      </c>
      <c r="I515" s="1">
        <v>6.625</v>
      </c>
      <c r="J515" s="1">
        <v>0</v>
      </c>
      <c r="K515" s="1">
        <v>0</v>
      </c>
      <c r="L515" s="1">
        <v>0</v>
      </c>
      <c r="M515" s="1">
        <v>0</v>
      </c>
      <c r="N515" s="1">
        <v>0.32500000000000001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3">
        <v>150</v>
      </c>
      <c r="AI515" s="3">
        <v>215</v>
      </c>
      <c r="AJ515" s="3">
        <v>4.5</v>
      </c>
    </row>
    <row r="516" spans="1:36" s="3" customFormat="1" x14ac:dyDescent="0.2">
      <c r="A516" s="3" t="s">
        <v>427</v>
      </c>
      <c r="B516" s="1" t="s">
        <v>629</v>
      </c>
      <c r="C516" s="1">
        <v>92.1</v>
      </c>
      <c r="D516" s="1">
        <v>0</v>
      </c>
      <c r="E516" s="1">
        <v>0</v>
      </c>
      <c r="F516" s="1">
        <v>0</v>
      </c>
      <c r="G516" s="1">
        <v>0.95</v>
      </c>
      <c r="H516" s="1">
        <v>0</v>
      </c>
      <c r="I516" s="1">
        <v>6.625</v>
      </c>
      <c r="J516" s="1">
        <v>0</v>
      </c>
      <c r="K516" s="1">
        <v>0</v>
      </c>
      <c r="L516" s="1">
        <v>0</v>
      </c>
      <c r="M516" s="1">
        <v>0</v>
      </c>
      <c r="N516" s="1">
        <v>0.32500000000000001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3">
        <v>192.5</v>
      </c>
      <c r="AI516" s="3">
        <v>295</v>
      </c>
      <c r="AJ516" s="3">
        <v>12</v>
      </c>
    </row>
    <row r="517" spans="1:36" s="3" customFormat="1" x14ac:dyDescent="0.2">
      <c r="A517" s="3" t="s">
        <v>428</v>
      </c>
      <c r="B517" s="1" t="s">
        <v>630</v>
      </c>
      <c r="C517" s="1">
        <v>90.248999999999995</v>
      </c>
      <c r="D517" s="1">
        <v>0</v>
      </c>
      <c r="E517" s="1">
        <v>0</v>
      </c>
      <c r="F517" s="1">
        <v>0</v>
      </c>
      <c r="G517" s="1">
        <v>0.93</v>
      </c>
      <c r="H517" s="1">
        <v>0</v>
      </c>
      <c r="I517" s="1">
        <v>6.0000000000000001E-3</v>
      </c>
      <c r="J517" s="1">
        <v>0</v>
      </c>
      <c r="K517" s="1">
        <v>0</v>
      </c>
      <c r="L517" s="1">
        <v>0</v>
      </c>
      <c r="M517" s="1">
        <v>0</v>
      </c>
      <c r="N517" s="1">
        <v>5.0000000000000001E-3</v>
      </c>
      <c r="O517" s="1">
        <v>0</v>
      </c>
      <c r="P517" s="1">
        <v>0</v>
      </c>
      <c r="Q517" s="1">
        <v>0</v>
      </c>
      <c r="R517" s="1">
        <v>0</v>
      </c>
      <c r="S517" s="1">
        <v>8.81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3">
        <v>100</v>
      </c>
      <c r="AI517" s="3">
        <v>140</v>
      </c>
      <c r="AJ517" s="3">
        <v>31</v>
      </c>
    </row>
    <row r="518" spans="1:36" s="3" customFormat="1" x14ac:dyDescent="0.2">
      <c r="A518" s="6" t="s">
        <v>429</v>
      </c>
      <c r="B518" s="1" t="s">
        <v>627</v>
      </c>
      <c r="C518" s="1">
        <f>((100-(D518+E518+F518+G518))/100)*100</f>
        <v>96.29</v>
      </c>
      <c r="D518" s="1">
        <v>1.81</v>
      </c>
      <c r="E518" s="1">
        <v>0.62</v>
      </c>
      <c r="F518" s="1">
        <v>0.45999999999999996</v>
      </c>
      <c r="G518" s="1">
        <v>0.81999999999999984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7">
        <v>145.5</v>
      </c>
      <c r="AI518" s="7">
        <v>163.6</v>
      </c>
      <c r="AJ518" s="7">
        <v>2.9</v>
      </c>
    </row>
    <row r="519" spans="1:36" s="3" customFormat="1" x14ac:dyDescent="0.2">
      <c r="A519" s="6" t="s">
        <v>430</v>
      </c>
      <c r="B519" s="1" t="s">
        <v>627</v>
      </c>
      <c r="C519" s="1">
        <f>((100-(D519+E519+F519+G519))/100)*100</f>
        <v>96.39</v>
      </c>
      <c r="D519" s="1">
        <v>1.7500000000000002</v>
      </c>
      <c r="E519" s="1">
        <v>0.6</v>
      </c>
      <c r="F519" s="1">
        <v>0.45000000000000007</v>
      </c>
      <c r="G519" s="1">
        <v>0.81000000000000016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7">
        <v>145.69999999999999</v>
      </c>
      <c r="AI519" s="7">
        <v>162.30000000000001</v>
      </c>
      <c r="AJ519" s="7">
        <v>2.8</v>
      </c>
    </row>
    <row r="520" spans="1:36" s="3" customFormat="1" x14ac:dyDescent="0.2">
      <c r="A520" s="3" t="s">
        <v>111</v>
      </c>
      <c r="B520" s="1" t="s">
        <v>625</v>
      </c>
      <c r="C520" s="1">
        <v>90</v>
      </c>
      <c r="D520" s="1">
        <v>0</v>
      </c>
      <c r="E520" s="1">
        <v>0</v>
      </c>
      <c r="F520" s="1">
        <v>0</v>
      </c>
      <c r="G520" s="1">
        <v>0.8</v>
      </c>
      <c r="H520" s="1">
        <v>0</v>
      </c>
      <c r="I520" s="1">
        <v>9</v>
      </c>
      <c r="J520" s="1">
        <v>0</v>
      </c>
      <c r="K520" s="1">
        <v>0</v>
      </c>
      <c r="L520" s="1">
        <v>0</v>
      </c>
      <c r="M520" s="1">
        <v>0</v>
      </c>
      <c r="N520" s="1">
        <v>0.2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3">
        <v>106</v>
      </c>
      <c r="AI520" s="3">
        <v>222</v>
      </c>
      <c r="AJ520" s="3">
        <v>5.3</v>
      </c>
    </row>
    <row r="521" spans="1:36" s="3" customFormat="1" x14ac:dyDescent="0.2">
      <c r="A521" s="3" t="s">
        <v>431</v>
      </c>
      <c r="B521" s="1" t="s">
        <v>629</v>
      </c>
      <c r="C521" s="1">
        <v>90</v>
      </c>
      <c r="D521" s="1">
        <v>0</v>
      </c>
      <c r="E521" s="1">
        <v>0</v>
      </c>
      <c r="F521" s="1">
        <v>0</v>
      </c>
      <c r="G521" s="1">
        <v>0.8</v>
      </c>
      <c r="H521" s="1">
        <v>0</v>
      </c>
      <c r="I521" s="1">
        <v>9</v>
      </c>
      <c r="J521" s="1">
        <v>0</v>
      </c>
      <c r="K521" s="1">
        <v>0</v>
      </c>
      <c r="L521" s="1">
        <v>0</v>
      </c>
      <c r="M521" s="1">
        <v>0</v>
      </c>
      <c r="N521" s="1">
        <v>0.2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3">
        <v>106</v>
      </c>
      <c r="AI521" s="3">
        <v>222</v>
      </c>
      <c r="AJ521" s="3">
        <v>5.3</v>
      </c>
    </row>
    <row r="522" spans="1:36" s="3" customFormat="1" x14ac:dyDescent="0.2">
      <c r="A522" s="1" t="s">
        <v>432</v>
      </c>
      <c r="B522" s="1" t="s">
        <v>627</v>
      </c>
      <c r="C522" s="1">
        <v>90</v>
      </c>
      <c r="D522" s="1">
        <v>0</v>
      </c>
      <c r="E522" s="1">
        <v>0</v>
      </c>
      <c r="F522" s="1">
        <v>0</v>
      </c>
      <c r="G522" s="1">
        <v>0.8</v>
      </c>
      <c r="H522" s="1">
        <v>0</v>
      </c>
      <c r="I522" s="1">
        <v>9</v>
      </c>
      <c r="J522" s="1">
        <v>0</v>
      </c>
      <c r="K522" s="1">
        <v>0</v>
      </c>
      <c r="L522" s="1">
        <v>0</v>
      </c>
      <c r="M522" s="1">
        <v>0</v>
      </c>
      <c r="N522" s="1">
        <v>0.2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106</v>
      </c>
      <c r="AI522" s="1">
        <v>222</v>
      </c>
      <c r="AJ522" s="1">
        <v>5.3</v>
      </c>
    </row>
    <row r="523" spans="1:36" s="3" customFormat="1" x14ac:dyDescent="0.2">
      <c r="A523" s="3" t="s">
        <v>752</v>
      </c>
      <c r="B523" s="1" t="s">
        <v>626</v>
      </c>
      <c r="C523" s="1">
        <v>93.33</v>
      </c>
      <c r="D523" s="1">
        <v>0</v>
      </c>
      <c r="E523" s="1">
        <v>0</v>
      </c>
      <c r="F523" s="1">
        <v>0</v>
      </c>
      <c r="G523" s="1">
        <v>0.78</v>
      </c>
      <c r="H523" s="1">
        <v>0</v>
      </c>
      <c r="I523" s="1">
        <v>2.61</v>
      </c>
      <c r="J523" s="1">
        <v>0</v>
      </c>
      <c r="K523" s="1">
        <v>0</v>
      </c>
      <c r="L523" s="1">
        <v>0</v>
      </c>
      <c r="M523" s="1">
        <v>0</v>
      </c>
      <c r="N523" s="1">
        <v>0.35</v>
      </c>
      <c r="O523" s="1">
        <v>0</v>
      </c>
      <c r="P523" s="1">
        <v>0</v>
      </c>
      <c r="Q523" s="1">
        <v>0</v>
      </c>
      <c r="R523" s="1">
        <v>0</v>
      </c>
      <c r="S523" s="1">
        <v>2.93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3">
        <v>157</v>
      </c>
      <c r="AI523" s="3">
        <v>232</v>
      </c>
      <c r="AJ523" s="3">
        <v>18</v>
      </c>
    </row>
    <row r="524" spans="1:36" s="3" customFormat="1" x14ac:dyDescent="0.2">
      <c r="A524" s="3" t="s">
        <v>753</v>
      </c>
      <c r="B524" s="1" t="s">
        <v>626</v>
      </c>
      <c r="C524" s="1">
        <v>93.33</v>
      </c>
      <c r="D524" s="1">
        <v>0</v>
      </c>
      <c r="E524" s="1">
        <v>0</v>
      </c>
      <c r="F524" s="1">
        <v>0</v>
      </c>
      <c r="G524" s="1">
        <v>0.78</v>
      </c>
      <c r="H524" s="1">
        <v>0</v>
      </c>
      <c r="I524" s="1">
        <v>2.61</v>
      </c>
      <c r="J524" s="1">
        <v>0</v>
      </c>
      <c r="K524" s="1">
        <v>0</v>
      </c>
      <c r="L524" s="1">
        <v>0</v>
      </c>
      <c r="M524" s="1">
        <v>0</v>
      </c>
      <c r="N524" s="1">
        <v>0.35</v>
      </c>
      <c r="O524" s="1">
        <v>0</v>
      </c>
      <c r="P524" s="1">
        <v>0</v>
      </c>
      <c r="Q524" s="1">
        <v>0</v>
      </c>
      <c r="R524" s="1">
        <v>0</v>
      </c>
      <c r="S524" s="1">
        <v>2.93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3">
        <v>101</v>
      </c>
      <c r="AI524" s="3">
        <v>213</v>
      </c>
      <c r="AJ524" s="3">
        <v>30</v>
      </c>
    </row>
    <row r="525" spans="1:36" s="3" customFormat="1" x14ac:dyDescent="0.2">
      <c r="A525" s="3" t="s">
        <v>754</v>
      </c>
      <c r="B525" s="1" t="s">
        <v>626</v>
      </c>
      <c r="C525" s="1">
        <v>93.33</v>
      </c>
      <c r="D525" s="1">
        <v>0</v>
      </c>
      <c r="E525" s="1">
        <v>0</v>
      </c>
      <c r="F525" s="1">
        <v>0</v>
      </c>
      <c r="G525" s="1">
        <v>0.78</v>
      </c>
      <c r="H525" s="1">
        <v>0</v>
      </c>
      <c r="I525" s="1">
        <v>2.61</v>
      </c>
      <c r="J525" s="1">
        <v>0</v>
      </c>
      <c r="K525" s="1">
        <v>0</v>
      </c>
      <c r="L525" s="1">
        <v>0</v>
      </c>
      <c r="M525" s="1">
        <v>0</v>
      </c>
      <c r="N525" s="1">
        <v>0.35</v>
      </c>
      <c r="O525" s="1">
        <v>0</v>
      </c>
      <c r="P525" s="1">
        <v>0</v>
      </c>
      <c r="Q525" s="1">
        <v>0</v>
      </c>
      <c r="R525" s="1">
        <v>0</v>
      </c>
      <c r="S525" s="1">
        <v>2.93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3">
        <v>91</v>
      </c>
      <c r="AI525" s="3">
        <v>233</v>
      </c>
      <c r="AJ525" s="3">
        <v>27</v>
      </c>
    </row>
    <row r="526" spans="1:36" s="3" customFormat="1" x14ac:dyDescent="0.2">
      <c r="A526" s="3" t="s">
        <v>755</v>
      </c>
      <c r="B526" s="1" t="s">
        <v>626</v>
      </c>
      <c r="C526" s="1">
        <v>96.27</v>
      </c>
      <c r="D526" s="1">
        <v>0</v>
      </c>
      <c r="E526" s="1">
        <v>0</v>
      </c>
      <c r="F526" s="1">
        <v>0</v>
      </c>
      <c r="G526" s="1">
        <v>0.75</v>
      </c>
      <c r="H526" s="1">
        <v>0</v>
      </c>
      <c r="I526" s="1">
        <v>2.62</v>
      </c>
      <c r="J526" s="1">
        <v>0</v>
      </c>
      <c r="K526" s="1">
        <v>0</v>
      </c>
      <c r="L526" s="1">
        <v>0</v>
      </c>
      <c r="M526" s="1">
        <v>0</v>
      </c>
      <c r="N526" s="1">
        <v>0.36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3">
        <v>177</v>
      </c>
      <c r="AI526" s="3">
        <v>250</v>
      </c>
      <c r="AJ526" s="3">
        <v>15</v>
      </c>
    </row>
    <row r="527" spans="1:36" s="3" customFormat="1" x14ac:dyDescent="0.2">
      <c r="A527" s="3" t="s">
        <v>756</v>
      </c>
      <c r="B527" s="1" t="s">
        <v>626</v>
      </c>
      <c r="C527" s="1">
        <v>96.27</v>
      </c>
      <c r="D527" s="1">
        <v>0</v>
      </c>
      <c r="E527" s="1">
        <v>0</v>
      </c>
      <c r="F527" s="1">
        <v>0</v>
      </c>
      <c r="G527" s="1">
        <v>0.75</v>
      </c>
      <c r="H527" s="1">
        <v>0</v>
      </c>
      <c r="I527" s="1">
        <v>2.62</v>
      </c>
      <c r="J527" s="1">
        <v>0</v>
      </c>
      <c r="K527" s="1">
        <v>0</v>
      </c>
      <c r="L527" s="1">
        <v>0</v>
      </c>
      <c r="M527" s="1">
        <v>0</v>
      </c>
      <c r="N527" s="1">
        <v>0.36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3">
        <v>91</v>
      </c>
      <c r="AI527" s="3">
        <v>228</v>
      </c>
      <c r="AJ527" s="3">
        <v>23</v>
      </c>
    </row>
    <row r="528" spans="1:36" s="3" customFormat="1" x14ac:dyDescent="0.2">
      <c r="A528" s="3" t="s">
        <v>757</v>
      </c>
      <c r="B528" s="1" t="s">
        <v>626</v>
      </c>
      <c r="C528" s="1">
        <v>96.27</v>
      </c>
      <c r="D528" s="1">
        <v>0</v>
      </c>
      <c r="E528" s="1">
        <v>0</v>
      </c>
      <c r="F528" s="1">
        <v>0</v>
      </c>
      <c r="G528" s="1">
        <v>0.75</v>
      </c>
      <c r="H528" s="1">
        <v>0</v>
      </c>
      <c r="I528" s="1">
        <v>2.62</v>
      </c>
      <c r="J528" s="1">
        <v>0</v>
      </c>
      <c r="K528" s="1">
        <v>0</v>
      </c>
      <c r="L528" s="1">
        <v>0</v>
      </c>
      <c r="M528" s="1">
        <v>0</v>
      </c>
      <c r="N528" s="1">
        <v>0.36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3">
        <v>70</v>
      </c>
      <c r="AI528" s="3">
        <v>227</v>
      </c>
      <c r="AJ528" s="3">
        <v>16</v>
      </c>
    </row>
    <row r="529" spans="1:36" s="3" customFormat="1" x14ac:dyDescent="0.2">
      <c r="A529" s="3" t="s">
        <v>433</v>
      </c>
      <c r="B529" s="1" t="s">
        <v>627</v>
      </c>
      <c r="C529" s="1">
        <v>90.05</v>
      </c>
      <c r="D529" s="1">
        <v>0</v>
      </c>
      <c r="E529" s="1">
        <v>0</v>
      </c>
      <c r="F529" s="1">
        <v>0</v>
      </c>
      <c r="G529" s="1">
        <v>0.7</v>
      </c>
      <c r="H529" s="1">
        <v>0</v>
      </c>
      <c r="I529" s="1">
        <v>8.99</v>
      </c>
      <c r="J529" s="1">
        <v>0</v>
      </c>
      <c r="K529" s="1">
        <v>0</v>
      </c>
      <c r="L529" s="1">
        <v>0</v>
      </c>
      <c r="M529" s="1">
        <v>0</v>
      </c>
      <c r="N529" s="1">
        <v>0.26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3">
        <v>96</v>
      </c>
      <c r="AI529" s="3">
        <v>160</v>
      </c>
      <c r="AJ529" s="3">
        <v>2.5</v>
      </c>
    </row>
    <row r="530" spans="1:36" s="3" customFormat="1" x14ac:dyDescent="0.2">
      <c r="A530" s="3" t="s">
        <v>434</v>
      </c>
      <c r="B530" s="1" t="s">
        <v>625</v>
      </c>
      <c r="C530" s="1">
        <v>90.05</v>
      </c>
      <c r="D530" s="1">
        <v>0</v>
      </c>
      <c r="E530" s="1">
        <v>0</v>
      </c>
      <c r="F530" s="1">
        <v>0</v>
      </c>
      <c r="G530" s="1">
        <v>0.7</v>
      </c>
      <c r="H530" s="1">
        <v>0</v>
      </c>
      <c r="I530" s="1">
        <v>8.99</v>
      </c>
      <c r="J530" s="1">
        <v>0</v>
      </c>
      <c r="K530" s="1">
        <v>0</v>
      </c>
      <c r="L530" s="1">
        <v>0</v>
      </c>
      <c r="M530" s="1">
        <v>0</v>
      </c>
      <c r="N530" s="1">
        <v>0.26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3">
        <v>98</v>
      </c>
      <c r="AI530" s="3">
        <v>250</v>
      </c>
      <c r="AJ530" s="3">
        <v>6.2</v>
      </c>
    </row>
    <row r="531" spans="1:36" s="3" customFormat="1" x14ac:dyDescent="0.2">
      <c r="A531" s="3" t="s">
        <v>435</v>
      </c>
      <c r="B531" s="1" t="s">
        <v>625</v>
      </c>
      <c r="C531" s="1">
        <v>90.05</v>
      </c>
      <c r="D531" s="1">
        <v>0</v>
      </c>
      <c r="E531" s="1">
        <v>0</v>
      </c>
      <c r="F531" s="1">
        <v>0</v>
      </c>
      <c r="G531" s="1">
        <v>0.7</v>
      </c>
      <c r="H531" s="1">
        <v>0</v>
      </c>
      <c r="I531" s="1">
        <v>8.99</v>
      </c>
      <c r="J531" s="1">
        <v>0</v>
      </c>
      <c r="K531" s="1">
        <v>0</v>
      </c>
      <c r="L531" s="1">
        <v>0</v>
      </c>
      <c r="M531" s="1">
        <v>0</v>
      </c>
      <c r="N531" s="1">
        <v>0.26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3">
        <v>130</v>
      </c>
      <c r="AI531" s="3">
        <v>260</v>
      </c>
      <c r="AJ531" s="3">
        <v>3.9</v>
      </c>
    </row>
    <row r="532" spans="1:36" s="3" customFormat="1" x14ac:dyDescent="0.2">
      <c r="A532" s="3" t="s">
        <v>436</v>
      </c>
      <c r="B532" s="1" t="s">
        <v>625</v>
      </c>
      <c r="C532" s="1">
        <v>90</v>
      </c>
      <c r="D532" s="1">
        <v>0</v>
      </c>
      <c r="E532" s="1">
        <v>0</v>
      </c>
      <c r="F532" s="1">
        <v>0</v>
      </c>
      <c r="G532" s="1">
        <v>0.7</v>
      </c>
      <c r="H532" s="1">
        <v>0</v>
      </c>
      <c r="I532" s="1">
        <v>9.06</v>
      </c>
      <c r="J532" s="1">
        <v>0</v>
      </c>
      <c r="K532" s="1">
        <v>0</v>
      </c>
      <c r="L532" s="1">
        <v>0</v>
      </c>
      <c r="M532" s="1">
        <v>0</v>
      </c>
      <c r="N532" s="1">
        <v>0.24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3">
        <v>91</v>
      </c>
      <c r="AI532" s="3">
        <v>170</v>
      </c>
      <c r="AJ532" s="3">
        <v>2.2999999999999998</v>
      </c>
    </row>
    <row r="533" spans="1:36" s="3" customFormat="1" x14ac:dyDescent="0.2">
      <c r="A533" s="3" t="s">
        <v>437</v>
      </c>
      <c r="B533" s="1" t="s">
        <v>627</v>
      </c>
      <c r="C533" s="1">
        <v>90</v>
      </c>
      <c r="D533" s="1">
        <v>0</v>
      </c>
      <c r="E533" s="1">
        <v>0</v>
      </c>
      <c r="F533" s="1">
        <v>0</v>
      </c>
      <c r="G533" s="1">
        <v>0.7</v>
      </c>
      <c r="H533" s="1">
        <v>0</v>
      </c>
      <c r="I533" s="1">
        <v>9.06</v>
      </c>
      <c r="J533" s="1">
        <v>0</v>
      </c>
      <c r="K533" s="1">
        <v>0</v>
      </c>
      <c r="L533" s="1">
        <v>0</v>
      </c>
      <c r="M533" s="1">
        <v>0</v>
      </c>
      <c r="N533" s="1">
        <v>0.24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3">
        <v>83</v>
      </c>
      <c r="AI533" s="3">
        <v>170</v>
      </c>
      <c r="AJ533" s="3">
        <v>4.2</v>
      </c>
    </row>
    <row r="534" spans="1:36" s="3" customFormat="1" x14ac:dyDescent="0.2">
      <c r="A534" s="3" t="s">
        <v>438</v>
      </c>
      <c r="B534" s="1" t="s">
        <v>625</v>
      </c>
      <c r="C534" s="1">
        <v>90</v>
      </c>
      <c r="D534" s="1">
        <v>0</v>
      </c>
      <c r="E534" s="1">
        <v>0</v>
      </c>
      <c r="F534" s="1">
        <v>0</v>
      </c>
      <c r="G534" s="1">
        <v>0.7</v>
      </c>
      <c r="H534" s="1">
        <v>0</v>
      </c>
      <c r="I534" s="1">
        <v>9.06</v>
      </c>
      <c r="J534" s="1">
        <v>0</v>
      </c>
      <c r="K534" s="1">
        <v>0</v>
      </c>
      <c r="L534" s="1">
        <v>0</v>
      </c>
      <c r="M534" s="1">
        <v>0</v>
      </c>
      <c r="N534" s="1">
        <v>0.24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3">
        <v>130</v>
      </c>
      <c r="AI534" s="3">
        <v>270</v>
      </c>
      <c r="AJ534" s="3">
        <v>4.0999999999999996</v>
      </c>
    </row>
    <row r="535" spans="1:36" s="3" customFormat="1" x14ac:dyDescent="0.2">
      <c r="A535" s="3" t="s">
        <v>439</v>
      </c>
      <c r="B535" s="1" t="s">
        <v>625</v>
      </c>
      <c r="C535" s="1">
        <v>90</v>
      </c>
      <c r="D535" s="1">
        <v>0</v>
      </c>
      <c r="E535" s="1">
        <v>0</v>
      </c>
      <c r="F535" s="1">
        <v>0</v>
      </c>
      <c r="G535" s="1">
        <v>0.7</v>
      </c>
      <c r="H535" s="1">
        <v>0</v>
      </c>
      <c r="I535" s="1">
        <v>9.06</v>
      </c>
      <c r="J535" s="1">
        <v>0</v>
      </c>
      <c r="K535" s="1">
        <v>0</v>
      </c>
      <c r="L535" s="1">
        <v>0</v>
      </c>
      <c r="M535" s="1">
        <v>0</v>
      </c>
      <c r="N535" s="1">
        <v>0.24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3">
        <v>83</v>
      </c>
      <c r="AI535" s="3">
        <v>270</v>
      </c>
      <c r="AJ535" s="3">
        <v>7.9</v>
      </c>
    </row>
    <row r="536" spans="1:36" s="3" customFormat="1" x14ac:dyDescent="0.2">
      <c r="A536" s="3" t="s">
        <v>440</v>
      </c>
      <c r="B536" s="1" t="s">
        <v>625</v>
      </c>
      <c r="C536" s="1">
        <v>90.15</v>
      </c>
      <c r="D536" s="1">
        <v>0</v>
      </c>
      <c r="E536" s="1">
        <v>0</v>
      </c>
      <c r="F536" s="1">
        <v>0</v>
      </c>
      <c r="G536" s="1">
        <v>0.7</v>
      </c>
      <c r="H536" s="1">
        <v>0</v>
      </c>
      <c r="I536" s="1">
        <v>8.91</v>
      </c>
      <c r="J536" s="1">
        <v>0</v>
      </c>
      <c r="K536" s="1">
        <v>0</v>
      </c>
      <c r="L536" s="1">
        <v>0</v>
      </c>
      <c r="M536" s="1">
        <v>0</v>
      </c>
      <c r="N536" s="1">
        <v>0.24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3">
        <v>145</v>
      </c>
      <c r="AI536" s="3">
        <v>275</v>
      </c>
      <c r="AJ536" s="3">
        <v>6</v>
      </c>
    </row>
    <row r="537" spans="1:36" s="3" customFormat="1" x14ac:dyDescent="0.2">
      <c r="A537" s="3" t="s">
        <v>441</v>
      </c>
      <c r="B537" s="1" t="s">
        <v>627</v>
      </c>
      <c r="C537" s="1">
        <v>91.15</v>
      </c>
      <c r="D537" s="1">
        <v>0</v>
      </c>
      <c r="E537" s="1">
        <v>0</v>
      </c>
      <c r="F537" s="1">
        <v>0</v>
      </c>
      <c r="G537" s="1">
        <v>0.7</v>
      </c>
      <c r="H537" s="1">
        <v>0</v>
      </c>
      <c r="I537" s="1">
        <v>7.91</v>
      </c>
      <c r="J537" s="1">
        <v>0</v>
      </c>
      <c r="K537" s="1">
        <v>0</v>
      </c>
      <c r="L537" s="1">
        <v>0</v>
      </c>
      <c r="M537" s="1">
        <v>0</v>
      </c>
      <c r="N537" s="1">
        <v>0.24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3">
        <v>84</v>
      </c>
      <c r="AI537" s="3">
        <v>160</v>
      </c>
      <c r="AJ537" s="3">
        <v>3</v>
      </c>
    </row>
    <row r="538" spans="1:36" s="3" customFormat="1" x14ac:dyDescent="0.2">
      <c r="A538" s="3" t="s">
        <v>442</v>
      </c>
      <c r="B538" s="1" t="s">
        <v>629</v>
      </c>
      <c r="C538" s="1">
        <v>91.3</v>
      </c>
      <c r="D538" s="1">
        <v>0</v>
      </c>
      <c r="E538" s="1">
        <v>0</v>
      </c>
      <c r="F538" s="1">
        <v>0</v>
      </c>
      <c r="G538" s="1">
        <v>0.7</v>
      </c>
      <c r="H538" s="1">
        <v>0</v>
      </c>
      <c r="I538" s="1">
        <v>7.76</v>
      </c>
      <c r="J538" s="1">
        <v>0</v>
      </c>
      <c r="K538" s="1">
        <v>0</v>
      </c>
      <c r="L538" s="1">
        <v>0</v>
      </c>
      <c r="M538" s="1">
        <v>0</v>
      </c>
      <c r="N538" s="1">
        <v>0.24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3">
        <v>150</v>
      </c>
      <c r="AI538" s="3">
        <v>220</v>
      </c>
      <c r="AJ538" s="3">
        <v>2</v>
      </c>
    </row>
    <row r="539" spans="1:36" s="3" customFormat="1" x14ac:dyDescent="0.2">
      <c r="A539" s="3" t="s">
        <v>443</v>
      </c>
      <c r="B539" s="1" t="s">
        <v>627</v>
      </c>
      <c r="C539" s="1">
        <v>89.95</v>
      </c>
      <c r="D539" s="1">
        <v>0</v>
      </c>
      <c r="E539" s="1">
        <v>0</v>
      </c>
      <c r="F539" s="1">
        <v>0</v>
      </c>
      <c r="G539" s="1">
        <v>0.67500000000000004</v>
      </c>
      <c r="H539" s="1">
        <v>0</v>
      </c>
      <c r="I539" s="1">
        <v>9.0500000000000007</v>
      </c>
      <c r="J539" s="1">
        <v>0</v>
      </c>
      <c r="K539" s="1">
        <v>0</v>
      </c>
      <c r="L539" s="1">
        <v>0</v>
      </c>
      <c r="M539" s="1">
        <v>0</v>
      </c>
      <c r="N539" s="1">
        <v>0.32500000000000001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3">
        <v>110</v>
      </c>
      <c r="AI539" s="3">
        <v>160</v>
      </c>
      <c r="AJ539" s="3">
        <v>3.3</v>
      </c>
    </row>
    <row r="540" spans="1:36" s="3" customFormat="1" x14ac:dyDescent="0.2">
      <c r="A540" s="3" t="s">
        <v>444</v>
      </c>
      <c r="B540" s="1" t="s">
        <v>625</v>
      </c>
      <c r="C540" s="1">
        <v>89.95</v>
      </c>
      <c r="D540" s="1">
        <v>0</v>
      </c>
      <c r="E540" s="1">
        <v>0</v>
      </c>
      <c r="F540" s="1">
        <v>0</v>
      </c>
      <c r="G540" s="1">
        <v>0.67500000000000004</v>
      </c>
      <c r="H540" s="1">
        <v>0</v>
      </c>
      <c r="I540" s="1">
        <v>9.0500000000000007</v>
      </c>
      <c r="J540" s="1">
        <v>0</v>
      </c>
      <c r="K540" s="1">
        <v>0</v>
      </c>
      <c r="L540" s="1">
        <v>0</v>
      </c>
      <c r="M540" s="1">
        <v>0</v>
      </c>
      <c r="N540" s="1">
        <v>0.32500000000000001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3">
        <v>130</v>
      </c>
      <c r="AI540" s="3">
        <v>210</v>
      </c>
      <c r="AJ540" s="3">
        <v>2.2999999999999998</v>
      </c>
    </row>
    <row r="541" spans="1:36" s="3" customFormat="1" x14ac:dyDescent="0.2">
      <c r="A541" s="3" t="s">
        <v>445</v>
      </c>
      <c r="B541" s="1" t="s">
        <v>625</v>
      </c>
      <c r="C541" s="1">
        <v>89.95</v>
      </c>
      <c r="D541" s="1">
        <v>0</v>
      </c>
      <c r="E541" s="1">
        <v>0</v>
      </c>
      <c r="F541" s="1">
        <v>0</v>
      </c>
      <c r="G541" s="1">
        <v>0.67500000000000004</v>
      </c>
      <c r="H541" s="1">
        <v>0</v>
      </c>
      <c r="I541" s="1">
        <v>9.0500000000000007</v>
      </c>
      <c r="J541" s="1">
        <v>0</v>
      </c>
      <c r="K541" s="1">
        <v>0</v>
      </c>
      <c r="L541" s="1">
        <v>0</v>
      </c>
      <c r="M541" s="1">
        <v>0</v>
      </c>
      <c r="N541" s="1">
        <v>0.32500000000000001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3">
        <v>80</v>
      </c>
      <c r="AI541" s="3">
        <v>220</v>
      </c>
      <c r="AJ541" s="3">
        <v>4.5</v>
      </c>
    </row>
    <row r="542" spans="1:36" s="3" customFormat="1" x14ac:dyDescent="0.2">
      <c r="A542" s="3" t="s">
        <v>446</v>
      </c>
      <c r="B542" s="1" t="s">
        <v>627</v>
      </c>
      <c r="C542" s="1">
        <v>89.95</v>
      </c>
      <c r="D542" s="1">
        <v>0</v>
      </c>
      <c r="E542" s="1">
        <v>0</v>
      </c>
      <c r="F542" s="1">
        <v>0</v>
      </c>
      <c r="G542" s="1">
        <v>0.67500000000000004</v>
      </c>
      <c r="H542" s="1">
        <v>0</v>
      </c>
      <c r="I542" s="1">
        <v>9.0500000000000007</v>
      </c>
      <c r="J542" s="1">
        <v>0</v>
      </c>
      <c r="K542" s="1">
        <v>0</v>
      </c>
      <c r="L542" s="1">
        <v>0</v>
      </c>
      <c r="M542" s="1">
        <v>0</v>
      </c>
      <c r="N542" s="1">
        <v>0.32500000000000001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3">
        <v>155</v>
      </c>
      <c r="AI542" s="3">
        <v>245.5</v>
      </c>
      <c r="AJ542" s="3">
        <v>4.5</v>
      </c>
    </row>
    <row r="543" spans="1:36" s="3" customFormat="1" x14ac:dyDescent="0.2">
      <c r="A543" s="3" t="s">
        <v>447</v>
      </c>
      <c r="B543" s="1" t="s">
        <v>627</v>
      </c>
      <c r="C543" s="1">
        <v>89.95</v>
      </c>
      <c r="D543" s="1">
        <v>0</v>
      </c>
      <c r="E543" s="1">
        <v>0</v>
      </c>
      <c r="F543" s="1">
        <v>0</v>
      </c>
      <c r="G543" s="1">
        <v>0.67500000000000004</v>
      </c>
      <c r="H543" s="1">
        <v>0</v>
      </c>
      <c r="I543" s="1">
        <v>9.0749999999999993</v>
      </c>
      <c r="J543" s="1">
        <v>0</v>
      </c>
      <c r="K543" s="1">
        <v>0</v>
      </c>
      <c r="L543" s="1">
        <v>0</v>
      </c>
      <c r="M543" s="1">
        <v>0</v>
      </c>
      <c r="N543" s="1">
        <v>0.3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3">
        <v>130</v>
      </c>
      <c r="AI543" s="3">
        <v>200</v>
      </c>
      <c r="AJ543" s="3">
        <v>2.9</v>
      </c>
    </row>
    <row r="544" spans="1:36" s="3" customFormat="1" x14ac:dyDescent="0.2">
      <c r="A544" s="3" t="s">
        <v>448</v>
      </c>
      <c r="B544" s="1" t="s">
        <v>625</v>
      </c>
      <c r="C544" s="1">
        <v>89.95</v>
      </c>
      <c r="D544" s="1">
        <v>0</v>
      </c>
      <c r="E544" s="1">
        <v>0</v>
      </c>
      <c r="F544" s="1">
        <v>0</v>
      </c>
      <c r="G544" s="1">
        <v>0.67500000000000004</v>
      </c>
      <c r="H544" s="1">
        <v>0</v>
      </c>
      <c r="I544" s="1">
        <v>9.0749999999999993</v>
      </c>
      <c r="J544" s="1">
        <v>0</v>
      </c>
      <c r="K544" s="1">
        <v>0</v>
      </c>
      <c r="L544" s="1">
        <v>0</v>
      </c>
      <c r="M544" s="1">
        <v>0</v>
      </c>
      <c r="N544" s="1">
        <v>0.3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3">
        <v>130</v>
      </c>
      <c r="AI544" s="3">
        <v>270</v>
      </c>
      <c r="AJ544" s="3">
        <v>6.7</v>
      </c>
    </row>
    <row r="545" spans="1:36" s="3" customFormat="1" x14ac:dyDescent="0.2">
      <c r="A545" s="3" t="s">
        <v>449</v>
      </c>
      <c r="B545" s="1" t="s">
        <v>625</v>
      </c>
      <c r="C545" s="1">
        <v>89.95</v>
      </c>
      <c r="D545" s="1">
        <v>0</v>
      </c>
      <c r="E545" s="1">
        <v>0</v>
      </c>
      <c r="F545" s="1">
        <v>0</v>
      </c>
      <c r="G545" s="1">
        <v>0.67500000000000004</v>
      </c>
      <c r="H545" s="1">
        <v>0</v>
      </c>
      <c r="I545" s="1">
        <v>9.0749999999999993</v>
      </c>
      <c r="J545" s="1">
        <v>0</v>
      </c>
      <c r="K545" s="1">
        <v>0</v>
      </c>
      <c r="L545" s="1">
        <v>0</v>
      </c>
      <c r="M545" s="1">
        <v>0</v>
      </c>
      <c r="N545" s="1">
        <v>0.3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3">
        <v>170</v>
      </c>
      <c r="AI545" s="3">
        <v>270</v>
      </c>
      <c r="AJ545" s="3">
        <v>2.2000000000000002</v>
      </c>
    </row>
    <row r="546" spans="1:36" s="3" customFormat="1" x14ac:dyDescent="0.2">
      <c r="A546" s="6" t="s">
        <v>450</v>
      </c>
      <c r="B546" s="1" t="s">
        <v>627</v>
      </c>
      <c r="C546" s="1">
        <f>((100-(D546+E546+F546+G546))/100)*100</f>
        <v>94.77</v>
      </c>
      <c r="D546" s="1">
        <v>1.25</v>
      </c>
      <c r="E546" s="1">
        <v>0.51</v>
      </c>
      <c r="F546" s="1">
        <v>2.8</v>
      </c>
      <c r="G546" s="1">
        <v>0.67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3">
        <v>169.90926250000001</v>
      </c>
      <c r="AI546" s="3">
        <v>189.35239999999999</v>
      </c>
      <c r="AJ546" s="3">
        <v>1.0466800249999999</v>
      </c>
    </row>
    <row r="547" spans="1:36" s="3" customFormat="1" x14ac:dyDescent="0.2">
      <c r="A547" s="6" t="s">
        <v>451</v>
      </c>
      <c r="B547" s="1" t="s">
        <v>627</v>
      </c>
      <c r="C547" s="1">
        <f>((100-(D547+E547+F547+G547))/100)*100</f>
        <v>94.82</v>
      </c>
      <c r="D547" s="1">
        <v>1.48</v>
      </c>
      <c r="E547" s="1">
        <v>2.64</v>
      </c>
      <c r="F547" s="1">
        <v>0.40999999999999992</v>
      </c>
      <c r="G547" s="1">
        <v>0.65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3">
        <v>174.95009999999999</v>
      </c>
      <c r="AI547" s="3">
        <v>186.96619999999999</v>
      </c>
      <c r="AJ547" s="3">
        <v>1.44161125</v>
      </c>
    </row>
    <row r="548" spans="1:36" s="3" customFormat="1" x14ac:dyDescent="0.2">
      <c r="A548" s="6" t="s">
        <v>452</v>
      </c>
      <c r="B548" s="1" t="s">
        <v>627</v>
      </c>
      <c r="C548" s="1">
        <f>((100-(D548+E548+F548+G548))/100)*100</f>
        <v>97.11</v>
      </c>
      <c r="D548" s="1">
        <v>1.41</v>
      </c>
      <c r="E548" s="1">
        <v>0.54</v>
      </c>
      <c r="F548" s="1">
        <v>0.3</v>
      </c>
      <c r="G548" s="1">
        <v>0.64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3">
        <v>133.89806249999998</v>
      </c>
      <c r="AI548" s="3">
        <v>163.63239999999999</v>
      </c>
      <c r="AJ548" s="3">
        <v>3.6195517500000003</v>
      </c>
    </row>
    <row r="549" spans="1:36" s="3" customFormat="1" x14ac:dyDescent="0.2">
      <c r="A549" s="6" t="s">
        <v>453</v>
      </c>
      <c r="B549" s="1" t="s">
        <v>627</v>
      </c>
      <c r="C549" s="1">
        <f>((100-(D549+E549+F549+G549))/100)*100</f>
        <v>94.84</v>
      </c>
      <c r="D549" s="1">
        <v>1.54</v>
      </c>
      <c r="E549" s="1">
        <v>2.0499999999999998</v>
      </c>
      <c r="F549" s="1">
        <v>0.93999999999999984</v>
      </c>
      <c r="G549" s="1">
        <v>0.63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3">
        <v>170.09212499999998</v>
      </c>
      <c r="AI549" s="3">
        <v>185.485975</v>
      </c>
      <c r="AJ549" s="3">
        <v>1.5741622500000001</v>
      </c>
    </row>
    <row r="550" spans="1:36" s="3" customFormat="1" x14ac:dyDescent="0.2">
      <c r="A550" s="6" t="s">
        <v>454</v>
      </c>
      <c r="B550" s="1" t="s">
        <v>627</v>
      </c>
      <c r="C550" s="1">
        <f>((100-(D550+E550+F550+G550))/100)*100</f>
        <v>97.09</v>
      </c>
      <c r="D550" s="1">
        <v>0.97</v>
      </c>
      <c r="E550" s="1">
        <v>0.25</v>
      </c>
      <c r="F550" s="1">
        <v>1.06</v>
      </c>
      <c r="G550" s="1">
        <v>0.63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3">
        <v>126.05185</v>
      </c>
      <c r="AI550" s="3">
        <v>162.52392499999999</v>
      </c>
      <c r="AJ550" s="3">
        <v>3.6492052500000005</v>
      </c>
    </row>
    <row r="551" spans="1:36" s="3" customFormat="1" x14ac:dyDescent="0.2">
      <c r="A551" s="3" t="s">
        <v>111</v>
      </c>
      <c r="B551" s="1" t="s">
        <v>626</v>
      </c>
      <c r="C551" s="1">
        <v>90.17</v>
      </c>
      <c r="D551" s="1">
        <v>0</v>
      </c>
      <c r="E551" s="1">
        <v>0</v>
      </c>
      <c r="F551" s="1">
        <v>0</v>
      </c>
      <c r="G551" s="1">
        <v>0.63</v>
      </c>
      <c r="H551" s="1">
        <v>0</v>
      </c>
      <c r="I551" s="1">
        <v>9.0399999999999991</v>
      </c>
      <c r="J551" s="1">
        <v>0</v>
      </c>
      <c r="K551" s="1">
        <v>0</v>
      </c>
      <c r="L551" s="1">
        <v>0</v>
      </c>
      <c r="M551" s="1">
        <v>0</v>
      </c>
      <c r="N551" s="1">
        <v>0.16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3">
        <v>322</v>
      </c>
      <c r="AI551" s="3">
        <v>399</v>
      </c>
      <c r="AJ551" s="3">
        <v>12</v>
      </c>
    </row>
    <row r="552" spans="1:36" s="3" customFormat="1" x14ac:dyDescent="0.2">
      <c r="A552" s="6" t="s">
        <v>455</v>
      </c>
      <c r="B552" s="1" t="s">
        <v>627</v>
      </c>
      <c r="C552" s="1">
        <v>96.36</v>
      </c>
      <c r="D552" s="1">
        <v>1.8399999999999999</v>
      </c>
      <c r="E552" s="1">
        <v>0.69</v>
      </c>
      <c r="F552" s="1">
        <v>0.49</v>
      </c>
      <c r="G552" s="1">
        <v>0.62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7">
        <v>148.4</v>
      </c>
      <c r="AI552" s="7">
        <v>159.1</v>
      </c>
      <c r="AJ552" s="7">
        <v>2</v>
      </c>
    </row>
    <row r="553" spans="1:36" s="3" customFormat="1" x14ac:dyDescent="0.2">
      <c r="A553" s="6" t="s">
        <v>456</v>
      </c>
      <c r="B553" s="1" t="s">
        <v>627</v>
      </c>
      <c r="C553" s="1">
        <f t="shared" ref="C553:C561" si="6">((100-(D553+E553+F553+G553))/100)*100</f>
        <v>94.8</v>
      </c>
      <c r="D553" s="1">
        <v>1.54</v>
      </c>
      <c r="E553" s="1">
        <v>0.97</v>
      </c>
      <c r="F553" s="1">
        <v>2.0699999999999998</v>
      </c>
      <c r="G553" s="1">
        <v>0.62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3">
        <v>172.02625</v>
      </c>
      <c r="AI553" s="3">
        <v>185.38692499999999</v>
      </c>
      <c r="AJ553" s="3">
        <v>1.3319104999999998</v>
      </c>
    </row>
    <row r="554" spans="1:36" s="3" customFormat="1" x14ac:dyDescent="0.2">
      <c r="A554" s="6" t="s">
        <v>457</v>
      </c>
      <c r="B554" s="1" t="s">
        <v>627</v>
      </c>
      <c r="C554" s="1">
        <f t="shared" si="6"/>
        <v>96.11</v>
      </c>
      <c r="D554" s="1">
        <v>1.52</v>
      </c>
      <c r="E554" s="1">
        <v>1.45</v>
      </c>
      <c r="F554" s="1">
        <v>0.3</v>
      </c>
      <c r="G554" s="1">
        <v>0.62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3">
        <v>153.84556250000003</v>
      </c>
      <c r="AI554" s="3">
        <v>172.18202500000001</v>
      </c>
      <c r="AJ554" s="3">
        <v>2.49169675</v>
      </c>
    </row>
    <row r="555" spans="1:36" s="3" customFormat="1" x14ac:dyDescent="0.2">
      <c r="A555" s="6" t="s">
        <v>458</v>
      </c>
      <c r="B555" s="1" t="s">
        <v>627</v>
      </c>
      <c r="C555" s="1">
        <f t="shared" si="6"/>
        <v>96.47</v>
      </c>
      <c r="D555" s="1">
        <v>1.78</v>
      </c>
      <c r="E555" s="1">
        <v>0.65</v>
      </c>
      <c r="F555" s="1">
        <v>0.49</v>
      </c>
      <c r="G555" s="1">
        <v>0.61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7">
        <v>134.19999999999999</v>
      </c>
      <c r="AI555" s="7">
        <v>156</v>
      </c>
      <c r="AJ555" s="7">
        <v>2.6</v>
      </c>
    </row>
    <row r="556" spans="1:36" s="3" customFormat="1" x14ac:dyDescent="0.2">
      <c r="A556" s="6" t="s">
        <v>459</v>
      </c>
      <c r="B556" s="1" t="s">
        <v>627</v>
      </c>
      <c r="C556" s="1">
        <f t="shared" si="6"/>
        <v>96.58</v>
      </c>
      <c r="D556" s="1">
        <v>1.66</v>
      </c>
      <c r="E556" s="1">
        <v>0.65</v>
      </c>
      <c r="F556" s="1">
        <v>0.5</v>
      </c>
      <c r="G556" s="1">
        <v>0.61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7">
        <v>135.19999999999999</v>
      </c>
      <c r="AI556" s="7">
        <v>154.30000000000001</v>
      </c>
      <c r="AJ556" s="7">
        <v>2.6</v>
      </c>
    </row>
    <row r="557" spans="1:36" s="3" customFormat="1" x14ac:dyDescent="0.2">
      <c r="A557" s="6" t="s">
        <v>460</v>
      </c>
      <c r="B557" s="1" t="s">
        <v>627</v>
      </c>
      <c r="C557" s="1">
        <f t="shared" si="6"/>
        <v>96.55</v>
      </c>
      <c r="D557" s="1">
        <v>2</v>
      </c>
      <c r="E557" s="1">
        <v>0.54</v>
      </c>
      <c r="F557" s="1">
        <v>0.31</v>
      </c>
      <c r="G557" s="1">
        <v>0.6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7">
        <v>131.19999999999999</v>
      </c>
      <c r="AI557" s="7">
        <v>159.19999999999999</v>
      </c>
      <c r="AJ557" s="7">
        <v>3.3</v>
      </c>
    </row>
    <row r="558" spans="1:36" s="3" customFormat="1" x14ac:dyDescent="0.2">
      <c r="A558" s="6" t="s">
        <v>461</v>
      </c>
      <c r="B558" s="1" t="s">
        <v>627</v>
      </c>
      <c r="C558" s="1">
        <f t="shared" si="6"/>
        <v>96.53</v>
      </c>
      <c r="D558" s="1">
        <v>1.9</v>
      </c>
      <c r="E558" s="1">
        <v>0.55000000000000004</v>
      </c>
      <c r="F558" s="1">
        <v>0.42</v>
      </c>
      <c r="G558" s="1">
        <v>0.6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7">
        <v>138.69999999999999</v>
      </c>
      <c r="AI558" s="7">
        <v>166.5</v>
      </c>
      <c r="AJ558" s="7">
        <v>3.9</v>
      </c>
    </row>
    <row r="559" spans="1:36" s="3" customFormat="1" x14ac:dyDescent="0.2">
      <c r="A559" s="6" t="s">
        <v>462</v>
      </c>
      <c r="B559" s="1" t="s">
        <v>627</v>
      </c>
      <c r="C559" s="1">
        <f t="shared" si="6"/>
        <v>95.45</v>
      </c>
      <c r="D559" s="1">
        <v>1.55</v>
      </c>
      <c r="E559" s="1">
        <v>2.09</v>
      </c>
      <c r="F559" s="1">
        <v>0.31</v>
      </c>
      <c r="G559" s="1">
        <v>0.6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3">
        <v>163.02405000000002</v>
      </c>
      <c r="AI559" s="3">
        <v>173.01147499999999</v>
      </c>
      <c r="AJ559" s="3">
        <v>1.6603697500000001</v>
      </c>
    </row>
    <row r="560" spans="1:36" s="3" customFormat="1" x14ac:dyDescent="0.2">
      <c r="A560" s="6" t="s">
        <v>463</v>
      </c>
      <c r="B560" s="1" t="s">
        <v>627</v>
      </c>
      <c r="C560" s="1">
        <f t="shared" si="6"/>
        <v>96.64</v>
      </c>
      <c r="D560" s="1">
        <v>1.51</v>
      </c>
      <c r="E560" s="1">
        <v>0.96</v>
      </c>
      <c r="F560" s="1">
        <v>0.28999999999999998</v>
      </c>
      <c r="G560" s="1">
        <v>0.6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3">
        <v>145.45645000000002</v>
      </c>
      <c r="AI560" s="3">
        <v>171.55694999999997</v>
      </c>
      <c r="AJ560" s="3">
        <v>3.43785425</v>
      </c>
    </row>
    <row r="561" spans="1:36" s="3" customFormat="1" x14ac:dyDescent="0.2">
      <c r="A561" s="6" t="s">
        <v>464</v>
      </c>
      <c r="B561" s="1" t="s">
        <v>627</v>
      </c>
      <c r="C561" s="1">
        <f t="shared" si="6"/>
        <v>96.5</v>
      </c>
      <c r="D561" s="1">
        <v>0.81000000000000016</v>
      </c>
      <c r="E561" s="1">
        <v>0.28999999999999998</v>
      </c>
      <c r="F561" s="1">
        <v>1.8000000000000003</v>
      </c>
      <c r="G561" s="1">
        <v>0.6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7">
        <v>146.19999999999999</v>
      </c>
      <c r="AI561" s="7">
        <v>173.3</v>
      </c>
      <c r="AJ561" s="7">
        <v>3.4</v>
      </c>
    </row>
    <row r="562" spans="1:36" s="3" customFormat="1" x14ac:dyDescent="0.2">
      <c r="A562" s="3" t="s">
        <v>465</v>
      </c>
      <c r="B562" s="1" t="s">
        <v>626</v>
      </c>
      <c r="C562" s="1">
        <v>93.31</v>
      </c>
      <c r="D562" s="1">
        <v>0</v>
      </c>
      <c r="E562" s="1">
        <v>0</v>
      </c>
      <c r="F562" s="1">
        <v>0</v>
      </c>
      <c r="G562" s="1">
        <v>0.6</v>
      </c>
      <c r="H562" s="1">
        <v>0</v>
      </c>
      <c r="I562" s="1">
        <v>5.8</v>
      </c>
      <c r="J562" s="1">
        <v>0</v>
      </c>
      <c r="K562" s="1">
        <v>0</v>
      </c>
      <c r="L562" s="1">
        <v>0</v>
      </c>
      <c r="M562" s="1">
        <v>0</v>
      </c>
      <c r="N562" s="1">
        <v>0.28999999999999998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3">
        <v>296</v>
      </c>
      <c r="AI562" s="3">
        <v>298</v>
      </c>
      <c r="AJ562" s="3">
        <v>20</v>
      </c>
    </row>
    <row r="563" spans="1:36" s="3" customFormat="1" x14ac:dyDescent="0.2">
      <c r="A563" s="6" t="s">
        <v>466</v>
      </c>
      <c r="B563" s="1" t="s">
        <v>627</v>
      </c>
      <c r="C563" s="1">
        <f t="shared" ref="C563:C575" si="7">((100-(D563+E563+F563+G563))/100)*100</f>
        <v>96.83</v>
      </c>
      <c r="D563" s="1">
        <v>1.71</v>
      </c>
      <c r="E563" s="1">
        <v>0.56000000000000005</v>
      </c>
      <c r="F563" s="1">
        <v>0.31</v>
      </c>
      <c r="G563" s="1">
        <v>0.59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7">
        <v>127.5</v>
      </c>
      <c r="AI563" s="7">
        <v>167.9</v>
      </c>
      <c r="AJ563" s="7">
        <v>4.3</v>
      </c>
    </row>
    <row r="564" spans="1:36" s="3" customFormat="1" x14ac:dyDescent="0.2">
      <c r="A564" s="6" t="s">
        <v>467</v>
      </c>
      <c r="B564" s="1" t="s">
        <v>627</v>
      </c>
      <c r="C564" s="1">
        <f t="shared" si="7"/>
        <v>96.67</v>
      </c>
      <c r="D564" s="1">
        <v>1.6099999999999999</v>
      </c>
      <c r="E564" s="1">
        <v>0.64</v>
      </c>
      <c r="F564" s="1">
        <v>0.49</v>
      </c>
      <c r="G564" s="1">
        <v>0.59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7">
        <v>130</v>
      </c>
      <c r="AI564" s="7">
        <v>154</v>
      </c>
      <c r="AJ564" s="7">
        <v>2.7</v>
      </c>
    </row>
    <row r="565" spans="1:36" s="3" customFormat="1" x14ac:dyDescent="0.2">
      <c r="A565" s="6" t="s">
        <v>468</v>
      </c>
      <c r="B565" s="1" t="s">
        <v>627</v>
      </c>
      <c r="C565" s="1">
        <f t="shared" si="7"/>
        <v>96.94</v>
      </c>
      <c r="D565" s="1">
        <v>1.55</v>
      </c>
      <c r="E565" s="1">
        <v>0.57999999999999996</v>
      </c>
      <c r="F565" s="1">
        <v>0.34</v>
      </c>
      <c r="G565" s="1">
        <v>0.59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7">
        <v>119.8</v>
      </c>
      <c r="AI565" s="7">
        <v>147.4</v>
      </c>
      <c r="AJ565" s="7">
        <v>2.2999999999999998</v>
      </c>
    </row>
    <row r="566" spans="1:36" s="3" customFormat="1" x14ac:dyDescent="0.2">
      <c r="A566" s="6" t="s">
        <v>469</v>
      </c>
      <c r="B566" s="1" t="s">
        <v>627</v>
      </c>
      <c r="C566" s="1">
        <f t="shared" si="7"/>
        <v>95.7</v>
      </c>
      <c r="D566" s="1">
        <v>0.8</v>
      </c>
      <c r="E566" s="1">
        <v>0.22</v>
      </c>
      <c r="F566" s="1">
        <v>2.69</v>
      </c>
      <c r="G566" s="1">
        <v>0.59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3">
        <v>151.92812499999999</v>
      </c>
      <c r="AI566" s="3">
        <v>179.344325</v>
      </c>
      <c r="AJ566" s="3">
        <v>1.7131002500000001</v>
      </c>
    </row>
    <row r="567" spans="1:36" s="3" customFormat="1" x14ac:dyDescent="0.2">
      <c r="A567" s="6" t="s">
        <v>470</v>
      </c>
      <c r="B567" s="1" t="s">
        <v>627</v>
      </c>
      <c r="C567" s="1">
        <f t="shared" si="7"/>
        <v>94.76</v>
      </c>
      <c r="D567" s="1">
        <v>0.75</v>
      </c>
      <c r="E567" s="1">
        <v>0.21</v>
      </c>
      <c r="F567" s="1">
        <v>3.6900000000000004</v>
      </c>
      <c r="G567" s="1">
        <v>0.59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3">
        <v>168.08155000000002</v>
      </c>
      <c r="AI567" s="3">
        <v>185.53257500000001</v>
      </c>
      <c r="AJ567" s="3">
        <v>0.85014877499999997</v>
      </c>
    </row>
    <row r="568" spans="1:36" s="3" customFormat="1" x14ac:dyDescent="0.2">
      <c r="A568" s="6" t="s">
        <v>471</v>
      </c>
      <c r="B568" s="1" t="s">
        <v>627</v>
      </c>
      <c r="C568" s="1">
        <f t="shared" si="7"/>
        <v>95.71</v>
      </c>
      <c r="D568" s="1">
        <v>0.51</v>
      </c>
      <c r="E568" s="1">
        <v>0.22999999999999998</v>
      </c>
      <c r="F568" s="1">
        <v>2.96</v>
      </c>
      <c r="G568" s="1">
        <v>0.59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7">
        <v>156.4</v>
      </c>
      <c r="AI568" s="7">
        <v>181.8</v>
      </c>
      <c r="AJ568" s="6">
        <v>2.7</v>
      </c>
    </row>
    <row r="569" spans="1:36" s="3" customFormat="1" x14ac:dyDescent="0.2">
      <c r="A569" s="6" t="s">
        <v>472</v>
      </c>
      <c r="B569" s="1" t="s">
        <v>627</v>
      </c>
      <c r="C569" s="1">
        <f t="shared" si="7"/>
        <v>95.84</v>
      </c>
      <c r="D569" s="1">
        <v>2.09</v>
      </c>
      <c r="E569" s="1">
        <v>0.24</v>
      </c>
      <c r="F569" s="1">
        <v>1.25</v>
      </c>
      <c r="G569" s="1">
        <v>0.57999999999999996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7">
        <v>151.19999999999999</v>
      </c>
      <c r="AI569" s="7">
        <v>172.7</v>
      </c>
      <c r="AJ569" s="7">
        <v>3.3</v>
      </c>
    </row>
    <row r="570" spans="1:36" s="3" customFormat="1" x14ac:dyDescent="0.2">
      <c r="A570" s="6" t="s">
        <v>473</v>
      </c>
      <c r="B570" s="1" t="s">
        <v>627</v>
      </c>
      <c r="C570" s="1">
        <f t="shared" si="7"/>
        <v>96.54</v>
      </c>
      <c r="D570" s="1">
        <v>1.71</v>
      </c>
      <c r="E570" s="1">
        <v>0.66</v>
      </c>
      <c r="F570" s="1">
        <v>0.51</v>
      </c>
      <c r="G570" s="1">
        <v>0.57999999999999996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7">
        <v>136.80000000000001</v>
      </c>
      <c r="AI570" s="7">
        <v>165.4</v>
      </c>
      <c r="AJ570" s="7">
        <v>3.7</v>
      </c>
    </row>
    <row r="571" spans="1:36" s="3" customFormat="1" x14ac:dyDescent="0.2">
      <c r="A571" s="6" t="s">
        <v>474</v>
      </c>
      <c r="B571" s="1" t="s">
        <v>627</v>
      </c>
      <c r="C571" s="1">
        <f t="shared" si="7"/>
        <v>95</v>
      </c>
      <c r="D571" s="1">
        <v>1.47</v>
      </c>
      <c r="E571" s="1">
        <v>2.65</v>
      </c>
      <c r="F571" s="1">
        <v>0.3</v>
      </c>
      <c r="G571" s="1">
        <v>0.57999999999999996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3">
        <v>169.05817500000001</v>
      </c>
      <c r="AI571" s="3">
        <v>186.13675000000001</v>
      </c>
      <c r="AJ571" s="3">
        <v>1.9877470000000002</v>
      </c>
    </row>
    <row r="572" spans="1:36" s="3" customFormat="1" x14ac:dyDescent="0.2">
      <c r="A572" s="6" t="s">
        <v>475</v>
      </c>
      <c r="B572" s="1" t="s">
        <v>627</v>
      </c>
      <c r="C572" s="1">
        <f t="shared" si="7"/>
        <v>93.76</v>
      </c>
      <c r="D572" s="1">
        <v>1.44</v>
      </c>
      <c r="E572" s="1">
        <v>3.92</v>
      </c>
      <c r="F572" s="1">
        <v>0.3</v>
      </c>
      <c r="G572" s="1">
        <v>0.57999999999999996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3">
        <v>189.03118333333336</v>
      </c>
      <c r="AI572" s="3">
        <v>196.74574999999999</v>
      </c>
      <c r="AJ572" s="3">
        <v>0.89835877500000005</v>
      </c>
    </row>
    <row r="573" spans="1:36" s="3" customFormat="1" x14ac:dyDescent="0.2">
      <c r="A573" s="6" t="s">
        <v>476</v>
      </c>
      <c r="B573" s="1" t="s">
        <v>627</v>
      </c>
      <c r="C573" s="1">
        <f t="shared" si="7"/>
        <v>96.14</v>
      </c>
      <c r="D573" s="1">
        <v>1.28</v>
      </c>
      <c r="E573" s="1">
        <v>0.22999999999999998</v>
      </c>
      <c r="F573" s="1">
        <v>1.78</v>
      </c>
      <c r="G573" s="1">
        <v>0.56999999999999995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7">
        <v>150.30000000000001</v>
      </c>
      <c r="AI573" s="7">
        <v>168.6</v>
      </c>
      <c r="AJ573" s="7">
        <v>2.8</v>
      </c>
    </row>
    <row r="574" spans="1:36" s="3" customFormat="1" x14ac:dyDescent="0.2">
      <c r="A574" s="6" t="s">
        <v>477</v>
      </c>
      <c r="B574" s="1" t="s">
        <v>627</v>
      </c>
      <c r="C574" s="1">
        <f t="shared" si="7"/>
        <v>95.46</v>
      </c>
      <c r="D574" s="1">
        <v>0.28999999999999998</v>
      </c>
      <c r="E574" s="1">
        <v>0.22999999999999998</v>
      </c>
      <c r="F574" s="1">
        <v>3.45</v>
      </c>
      <c r="G574" s="1">
        <v>0.56999999999999995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7">
        <v>156.9</v>
      </c>
      <c r="AI574" s="7">
        <v>189.2</v>
      </c>
      <c r="AJ574" s="6">
        <v>2.7</v>
      </c>
    </row>
    <row r="575" spans="1:36" s="3" customFormat="1" x14ac:dyDescent="0.2">
      <c r="A575" s="6" t="s">
        <v>478</v>
      </c>
      <c r="B575" s="1" t="s">
        <v>627</v>
      </c>
      <c r="C575" s="1">
        <f t="shared" si="7"/>
        <v>96.39</v>
      </c>
      <c r="D575" s="1">
        <v>0.85000000000000009</v>
      </c>
      <c r="E575" s="1">
        <v>0.2</v>
      </c>
      <c r="F575" s="1">
        <v>2.0099999999999998</v>
      </c>
      <c r="G575" s="1">
        <v>0.55000000000000004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7">
        <v>145.4</v>
      </c>
      <c r="AI575" s="7">
        <v>172.8</v>
      </c>
      <c r="AJ575" s="7">
        <v>3.2</v>
      </c>
    </row>
    <row r="576" spans="1:36" s="3" customFormat="1" x14ac:dyDescent="0.2">
      <c r="A576" s="3" t="s">
        <v>479</v>
      </c>
      <c r="B576" s="1" t="s">
        <v>629</v>
      </c>
      <c r="C576" s="1">
        <v>93.858000000000004</v>
      </c>
      <c r="D576" s="1">
        <v>0</v>
      </c>
      <c r="E576" s="1">
        <v>0</v>
      </c>
      <c r="F576" s="1">
        <v>0</v>
      </c>
      <c r="G576" s="1">
        <v>0.50900000000000001</v>
      </c>
      <c r="H576" s="1">
        <v>0</v>
      </c>
      <c r="I576" s="1">
        <v>5.52</v>
      </c>
      <c r="J576" s="1">
        <v>0</v>
      </c>
      <c r="K576" s="1">
        <v>0</v>
      </c>
      <c r="L576" s="1">
        <v>0</v>
      </c>
      <c r="M576" s="1">
        <v>0</v>
      </c>
      <c r="N576" s="1">
        <v>0.11299999999999999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3">
        <v>91</v>
      </c>
      <c r="AI576" s="3">
        <v>172</v>
      </c>
      <c r="AJ576" s="3">
        <v>5.52</v>
      </c>
    </row>
    <row r="577" spans="1:36" s="3" customFormat="1" x14ac:dyDescent="0.2">
      <c r="A577" s="3" t="s">
        <v>480</v>
      </c>
      <c r="B577" s="1" t="s">
        <v>626</v>
      </c>
      <c r="C577" s="1">
        <v>86.5</v>
      </c>
      <c r="D577" s="1">
        <v>0</v>
      </c>
      <c r="E577" s="1">
        <v>0</v>
      </c>
      <c r="F577" s="1">
        <v>0</v>
      </c>
      <c r="G577" s="1">
        <v>0.5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3</v>
      </c>
      <c r="P577" s="1">
        <v>10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3">
        <v>311</v>
      </c>
      <c r="AI577" s="3">
        <v>397</v>
      </c>
      <c r="AJ577" s="3">
        <v>4</v>
      </c>
    </row>
    <row r="578" spans="1:36" s="3" customFormat="1" x14ac:dyDescent="0.2">
      <c r="A578" s="3" t="s">
        <v>481</v>
      </c>
      <c r="B578" s="1" t="s">
        <v>627</v>
      </c>
      <c r="C578" s="1">
        <v>90.45</v>
      </c>
      <c r="D578" s="1">
        <v>0</v>
      </c>
      <c r="E578" s="1">
        <v>0</v>
      </c>
      <c r="F578" s="1">
        <v>0</v>
      </c>
      <c r="G578" s="1">
        <v>0.5</v>
      </c>
      <c r="H578" s="1">
        <v>0</v>
      </c>
      <c r="I578" s="1">
        <v>8.74</v>
      </c>
      <c r="J578" s="1">
        <v>0</v>
      </c>
      <c r="K578" s="1">
        <v>0</v>
      </c>
      <c r="L578" s="1">
        <v>0</v>
      </c>
      <c r="M578" s="1">
        <v>0</v>
      </c>
      <c r="N578" s="1">
        <v>0.31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3">
        <v>210</v>
      </c>
      <c r="AI578" s="3">
        <v>330</v>
      </c>
      <c r="AJ578" s="3">
        <v>7.8</v>
      </c>
    </row>
    <row r="579" spans="1:36" s="3" customFormat="1" x14ac:dyDescent="0.2">
      <c r="A579" s="3" t="s">
        <v>482</v>
      </c>
      <c r="B579" s="1" t="s">
        <v>625</v>
      </c>
      <c r="C579" s="1">
        <v>90.45</v>
      </c>
      <c r="D579" s="1">
        <v>0</v>
      </c>
      <c r="E579" s="1">
        <v>0</v>
      </c>
      <c r="F579" s="1">
        <v>0</v>
      </c>
      <c r="G579" s="1">
        <v>0.5</v>
      </c>
      <c r="H579" s="1">
        <v>0</v>
      </c>
      <c r="I579" s="1">
        <v>8.74</v>
      </c>
      <c r="J579" s="1">
        <v>0</v>
      </c>
      <c r="K579" s="1">
        <v>0</v>
      </c>
      <c r="L579" s="1">
        <v>0</v>
      </c>
      <c r="M579" s="1">
        <v>0</v>
      </c>
      <c r="N579" s="1">
        <v>0.31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3">
        <v>230</v>
      </c>
      <c r="AI579" s="3">
        <v>340</v>
      </c>
      <c r="AJ579" s="3">
        <v>3.9</v>
      </c>
    </row>
    <row r="580" spans="1:36" s="3" customFormat="1" x14ac:dyDescent="0.2">
      <c r="A580" s="3" t="s">
        <v>483</v>
      </c>
      <c r="B580" s="1" t="s">
        <v>625</v>
      </c>
      <c r="C580" s="1">
        <v>90.6</v>
      </c>
      <c r="D580" s="1">
        <v>0</v>
      </c>
      <c r="E580" s="1">
        <v>0</v>
      </c>
      <c r="F580" s="1">
        <v>0</v>
      </c>
      <c r="G580" s="1">
        <v>0.5</v>
      </c>
      <c r="H580" s="1">
        <v>0</v>
      </c>
      <c r="I580" s="1">
        <v>8.59</v>
      </c>
      <c r="J580" s="1">
        <v>0</v>
      </c>
      <c r="K580" s="1">
        <v>0</v>
      </c>
      <c r="L580" s="1">
        <v>0</v>
      </c>
      <c r="M580" s="1">
        <v>0</v>
      </c>
      <c r="N580" s="1">
        <v>0.31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3">
        <v>202.5</v>
      </c>
      <c r="AI580" s="3">
        <v>292.5</v>
      </c>
      <c r="AJ580" s="3">
        <v>6.25</v>
      </c>
    </row>
    <row r="581" spans="1:36" s="3" customFormat="1" x14ac:dyDescent="0.2">
      <c r="A581" s="3" t="s">
        <v>484</v>
      </c>
      <c r="B581" s="1" t="s">
        <v>626</v>
      </c>
      <c r="C581" s="1">
        <v>90.8</v>
      </c>
      <c r="D581" s="1">
        <v>0</v>
      </c>
      <c r="E581" s="1">
        <v>0</v>
      </c>
      <c r="F581" s="1">
        <v>0</v>
      </c>
      <c r="G581" s="1">
        <v>0.5</v>
      </c>
      <c r="H581" s="1">
        <v>0</v>
      </c>
      <c r="I581" s="1">
        <v>8.5</v>
      </c>
      <c r="J581" s="1">
        <v>0</v>
      </c>
      <c r="K581" s="1">
        <v>0</v>
      </c>
      <c r="L581" s="1">
        <v>0</v>
      </c>
      <c r="M581" s="1">
        <v>0</v>
      </c>
      <c r="N581" s="1">
        <v>0.2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3">
        <v>225</v>
      </c>
      <c r="AI581" s="3">
        <v>350</v>
      </c>
      <c r="AJ581" s="3">
        <v>9.3000000000000007</v>
      </c>
    </row>
    <row r="582" spans="1:36" s="3" customFormat="1" x14ac:dyDescent="0.2">
      <c r="A582" s="3" t="s">
        <v>486</v>
      </c>
      <c r="B582" s="1" t="s">
        <v>626</v>
      </c>
      <c r="C582" s="1">
        <v>90.8</v>
      </c>
      <c r="D582" s="1">
        <v>0</v>
      </c>
      <c r="E582" s="1">
        <v>0</v>
      </c>
      <c r="F582" s="1">
        <v>0</v>
      </c>
      <c r="G582" s="1">
        <v>0.5</v>
      </c>
      <c r="H582" s="1">
        <v>0</v>
      </c>
      <c r="I582" s="1">
        <v>8.5</v>
      </c>
      <c r="J582" s="1">
        <v>0</v>
      </c>
      <c r="K582" s="1">
        <v>0</v>
      </c>
      <c r="L582" s="1">
        <v>0</v>
      </c>
      <c r="M582" s="1">
        <v>0</v>
      </c>
      <c r="N582" s="1">
        <v>0.2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3">
        <v>135</v>
      </c>
      <c r="AI582" s="3">
        <v>265</v>
      </c>
      <c r="AJ582" s="3">
        <v>7</v>
      </c>
    </row>
    <row r="583" spans="1:36" s="3" customFormat="1" x14ac:dyDescent="0.2">
      <c r="A583" s="3" t="s">
        <v>487</v>
      </c>
      <c r="B583" s="1" t="s">
        <v>626</v>
      </c>
      <c r="C583" s="1">
        <v>91.5</v>
      </c>
      <c r="D583" s="1">
        <v>0</v>
      </c>
      <c r="E583" s="1">
        <v>0</v>
      </c>
      <c r="F583" s="1">
        <v>0</v>
      </c>
      <c r="G583" s="1">
        <v>0.5</v>
      </c>
      <c r="H583" s="1">
        <v>0</v>
      </c>
      <c r="I583" s="1">
        <v>8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3">
        <v>403</v>
      </c>
      <c r="AI583" s="3">
        <v>437</v>
      </c>
      <c r="AJ583" s="3">
        <v>10.7</v>
      </c>
    </row>
    <row r="584" spans="1:36" s="3" customFormat="1" x14ac:dyDescent="0.2">
      <c r="A584" s="3" t="s">
        <v>205</v>
      </c>
      <c r="B584" s="1" t="s">
        <v>626</v>
      </c>
      <c r="C584" s="1">
        <v>91.5</v>
      </c>
      <c r="D584" s="1">
        <v>0</v>
      </c>
      <c r="E584" s="1">
        <v>0</v>
      </c>
      <c r="F584" s="1">
        <v>0</v>
      </c>
      <c r="G584" s="1">
        <v>0.5</v>
      </c>
      <c r="H584" s="1">
        <v>0</v>
      </c>
      <c r="I584" s="1">
        <v>8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3">
        <v>215</v>
      </c>
      <c r="AI584" s="3">
        <v>300</v>
      </c>
      <c r="AJ584" s="3">
        <v>8</v>
      </c>
    </row>
    <row r="585" spans="1:36" s="3" customFormat="1" x14ac:dyDescent="0.2">
      <c r="A585" s="3" t="s">
        <v>488</v>
      </c>
      <c r="B585" s="1" t="s">
        <v>628</v>
      </c>
      <c r="C585" s="1">
        <v>91.5</v>
      </c>
      <c r="D585" s="1">
        <v>0</v>
      </c>
      <c r="E585" s="1">
        <v>0</v>
      </c>
      <c r="F585" s="1">
        <v>0</v>
      </c>
      <c r="G585" s="1">
        <v>0.5</v>
      </c>
      <c r="H585" s="1">
        <v>0</v>
      </c>
      <c r="I585" s="1">
        <v>8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3">
        <v>252.5</v>
      </c>
      <c r="AI585" s="3">
        <v>355</v>
      </c>
      <c r="AJ585" s="3">
        <v>8.5</v>
      </c>
    </row>
    <row r="586" spans="1:36" s="3" customFormat="1" x14ac:dyDescent="0.2">
      <c r="A586" s="6" t="s">
        <v>489</v>
      </c>
      <c r="B586" s="1" t="s">
        <v>627</v>
      </c>
      <c r="C586" s="1">
        <f>((100-(D586+E586+F586+G586))/100)*100</f>
        <v>97.56</v>
      </c>
      <c r="D586" s="1">
        <v>1.1499999999999999</v>
      </c>
      <c r="E586" s="1">
        <v>0.45999999999999996</v>
      </c>
      <c r="F586" s="1">
        <v>0.34</v>
      </c>
      <c r="G586" s="1">
        <v>0.49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7">
        <v>112.7</v>
      </c>
      <c r="AI586" s="7">
        <v>141</v>
      </c>
      <c r="AJ586" s="7">
        <v>3</v>
      </c>
    </row>
    <row r="587" spans="1:36" s="3" customFormat="1" x14ac:dyDescent="0.2">
      <c r="A587" s="3" t="s">
        <v>490</v>
      </c>
      <c r="B587" s="1" t="s">
        <v>626</v>
      </c>
      <c r="C587" s="1">
        <v>88.35</v>
      </c>
      <c r="D587" s="1">
        <v>0</v>
      </c>
      <c r="E587" s="1">
        <v>0</v>
      </c>
      <c r="F587" s="1">
        <v>0</v>
      </c>
      <c r="G587" s="1">
        <v>0.43</v>
      </c>
      <c r="H587" s="1">
        <v>0</v>
      </c>
      <c r="I587" s="1">
        <v>0.95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10.27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3">
        <v>128.4</v>
      </c>
      <c r="AI587" s="3">
        <v>149.9</v>
      </c>
      <c r="AJ587" s="3">
        <v>46.1</v>
      </c>
    </row>
    <row r="588" spans="1:36" s="3" customFormat="1" x14ac:dyDescent="0.2">
      <c r="A588" s="1" t="s">
        <v>738</v>
      </c>
      <c r="B588" s="1" t="s">
        <v>626</v>
      </c>
      <c r="C588" s="1">
        <v>91.67</v>
      </c>
      <c r="D588" s="1">
        <v>0</v>
      </c>
      <c r="E588" s="1">
        <v>3</v>
      </c>
      <c r="F588" s="1">
        <v>0</v>
      </c>
      <c r="G588" s="1">
        <v>0.22</v>
      </c>
      <c r="H588" s="1">
        <v>0</v>
      </c>
      <c r="I588" s="1">
        <v>4.4000000000000004</v>
      </c>
      <c r="J588" s="1">
        <v>0</v>
      </c>
      <c r="K588" s="1">
        <v>0</v>
      </c>
      <c r="L588" s="1">
        <v>0</v>
      </c>
      <c r="M588" s="1">
        <v>0</v>
      </c>
      <c r="N588" s="1">
        <v>0.6</v>
      </c>
      <c r="O588" s="1">
        <v>0</v>
      </c>
      <c r="P588" s="1">
        <v>0</v>
      </c>
      <c r="Q588" s="1">
        <v>0.01</v>
      </c>
      <c r="R588" s="1">
        <v>0.1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68</v>
      </c>
      <c r="AI588" s="1">
        <v>165</v>
      </c>
      <c r="AJ588" s="1">
        <v>6</v>
      </c>
    </row>
    <row r="589" spans="1:36" s="3" customFormat="1" x14ac:dyDescent="0.2">
      <c r="A589" s="1" t="s">
        <v>739</v>
      </c>
      <c r="B589" s="1" t="s">
        <v>626</v>
      </c>
      <c r="C589" s="1">
        <v>92.67</v>
      </c>
      <c r="D589" s="1">
        <v>0</v>
      </c>
      <c r="E589" s="1">
        <v>2</v>
      </c>
      <c r="F589" s="1">
        <v>0</v>
      </c>
      <c r="G589" s="1">
        <v>0.22</v>
      </c>
      <c r="H589" s="1">
        <v>0</v>
      </c>
      <c r="I589" s="1">
        <v>4.4000000000000004</v>
      </c>
      <c r="J589" s="1">
        <v>0</v>
      </c>
      <c r="K589" s="1">
        <v>0</v>
      </c>
      <c r="L589" s="1">
        <v>0</v>
      </c>
      <c r="M589" s="1">
        <v>0</v>
      </c>
      <c r="N589" s="1">
        <v>0.6</v>
      </c>
      <c r="O589" s="1">
        <v>0</v>
      </c>
      <c r="P589" s="1">
        <v>0</v>
      </c>
      <c r="Q589" s="1">
        <v>0.01</v>
      </c>
      <c r="R589" s="1">
        <v>0.1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75</v>
      </c>
      <c r="AI589" s="1">
        <v>177</v>
      </c>
      <c r="AJ589" s="1">
        <v>13</v>
      </c>
    </row>
    <row r="590" spans="1:36" s="3" customFormat="1" x14ac:dyDescent="0.2">
      <c r="A590" s="1" t="s">
        <v>740</v>
      </c>
      <c r="B590" s="1" t="s">
        <v>626</v>
      </c>
      <c r="C590" s="1">
        <v>93.17</v>
      </c>
      <c r="D590" s="1">
        <v>0</v>
      </c>
      <c r="E590" s="1">
        <v>1.5</v>
      </c>
      <c r="F590" s="1">
        <v>0</v>
      </c>
      <c r="G590" s="1">
        <v>0.22</v>
      </c>
      <c r="H590" s="1">
        <v>0</v>
      </c>
      <c r="I590" s="1">
        <v>4.4000000000000004</v>
      </c>
      <c r="J590" s="1">
        <v>0</v>
      </c>
      <c r="K590" s="1">
        <v>0</v>
      </c>
      <c r="L590" s="1">
        <v>0</v>
      </c>
      <c r="M590" s="1">
        <v>0</v>
      </c>
      <c r="N590" s="1">
        <v>0.6</v>
      </c>
      <c r="O590" s="1">
        <v>0</v>
      </c>
      <c r="P590" s="1">
        <v>0</v>
      </c>
      <c r="Q590" s="1">
        <v>0.01</v>
      </c>
      <c r="R590" s="1">
        <v>0.1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88</v>
      </c>
      <c r="AI590" s="1">
        <v>203</v>
      </c>
      <c r="AJ590" s="1">
        <v>20</v>
      </c>
    </row>
    <row r="591" spans="1:36" s="3" customFormat="1" x14ac:dyDescent="0.2">
      <c r="A591" s="1" t="s">
        <v>741</v>
      </c>
      <c r="B591" s="1" t="s">
        <v>626</v>
      </c>
      <c r="C591" s="1">
        <v>93.67</v>
      </c>
      <c r="D591" s="1">
        <v>0</v>
      </c>
      <c r="E591" s="1">
        <v>1</v>
      </c>
      <c r="F591" s="1">
        <v>0</v>
      </c>
      <c r="G591" s="1">
        <v>0.22</v>
      </c>
      <c r="H591" s="1">
        <v>0</v>
      </c>
      <c r="I591" s="1">
        <v>4.4000000000000004</v>
      </c>
      <c r="J591" s="1">
        <v>0</v>
      </c>
      <c r="K591" s="1">
        <v>0</v>
      </c>
      <c r="L591" s="1">
        <v>0</v>
      </c>
      <c r="M591" s="1">
        <v>0</v>
      </c>
      <c r="N591" s="1">
        <v>0.6</v>
      </c>
      <c r="O591" s="1">
        <v>0</v>
      </c>
      <c r="P591" s="1">
        <v>0</v>
      </c>
      <c r="Q591" s="1">
        <v>0.01</v>
      </c>
      <c r="R591" s="1">
        <v>0.1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82</v>
      </c>
      <c r="AI591" s="1">
        <v>184</v>
      </c>
      <c r="AJ591" s="1">
        <v>15</v>
      </c>
    </row>
    <row r="592" spans="1:36" s="3" customFormat="1" x14ac:dyDescent="0.2">
      <c r="A592" s="1" t="s">
        <v>742</v>
      </c>
      <c r="B592" s="1" t="s">
        <v>626</v>
      </c>
      <c r="C592" s="1">
        <v>94.17</v>
      </c>
      <c r="D592" s="1">
        <v>0</v>
      </c>
      <c r="E592" s="1">
        <v>0.5</v>
      </c>
      <c r="F592" s="1">
        <v>0</v>
      </c>
      <c r="G592" s="1">
        <v>0.22</v>
      </c>
      <c r="H592" s="1">
        <v>0</v>
      </c>
      <c r="I592" s="1">
        <v>4.4000000000000004</v>
      </c>
      <c r="J592" s="1">
        <v>0</v>
      </c>
      <c r="K592" s="1">
        <v>0</v>
      </c>
      <c r="L592" s="1">
        <v>0</v>
      </c>
      <c r="M592" s="1">
        <v>0</v>
      </c>
      <c r="N592" s="1">
        <v>0.6</v>
      </c>
      <c r="O592" s="1">
        <v>0</v>
      </c>
      <c r="P592" s="1">
        <v>0</v>
      </c>
      <c r="Q592" s="1">
        <v>0.01</v>
      </c>
      <c r="R592" s="1">
        <v>0.1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71</v>
      </c>
      <c r="AI592" s="1">
        <v>173</v>
      </c>
      <c r="AJ592" s="1">
        <v>9</v>
      </c>
    </row>
    <row r="593" spans="1:36" s="3" customFormat="1" x14ac:dyDescent="0.2">
      <c r="A593" s="1" t="s">
        <v>491</v>
      </c>
      <c r="B593" s="1" t="s">
        <v>628</v>
      </c>
      <c r="C593" s="1">
        <v>90.5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6.25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3.25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420</v>
      </c>
      <c r="AI593" s="1">
        <v>526</v>
      </c>
      <c r="AJ593" s="1">
        <v>8</v>
      </c>
    </row>
    <row r="594" spans="1:36" s="3" customFormat="1" x14ac:dyDescent="0.2">
      <c r="A594" s="1" t="s">
        <v>492</v>
      </c>
      <c r="B594" s="1" t="s">
        <v>625</v>
      </c>
      <c r="C594" s="1">
        <v>93</v>
      </c>
      <c r="D594" s="1">
        <v>1</v>
      </c>
      <c r="E594" s="1">
        <v>1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4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165</v>
      </c>
      <c r="AI594" s="1">
        <v>250</v>
      </c>
      <c r="AJ594" s="1">
        <v>2</v>
      </c>
    </row>
    <row r="595" spans="1:36" s="3" customFormat="1" x14ac:dyDescent="0.2">
      <c r="A595" s="1" t="s">
        <v>492</v>
      </c>
      <c r="B595" s="1" t="s">
        <v>628</v>
      </c>
      <c r="C595" s="1">
        <v>93</v>
      </c>
      <c r="D595" s="1">
        <v>1</v>
      </c>
      <c r="E595" s="1">
        <v>1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4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263</v>
      </c>
      <c r="AI595" s="1">
        <v>311</v>
      </c>
      <c r="AJ595" s="1">
        <v>23</v>
      </c>
    </row>
    <row r="596" spans="1:36" s="3" customFormat="1" x14ac:dyDescent="0.2">
      <c r="A596" s="1" t="s">
        <v>765</v>
      </c>
      <c r="B596" s="1" t="s">
        <v>626</v>
      </c>
      <c r="C596" s="1">
        <v>97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3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120</v>
      </c>
      <c r="AI596" s="1">
        <v>200</v>
      </c>
      <c r="AJ596" s="1">
        <v>33</v>
      </c>
    </row>
    <row r="597" spans="1:36" s="3" customFormat="1" x14ac:dyDescent="0.2">
      <c r="A597" s="3" t="s">
        <v>494</v>
      </c>
      <c r="B597" s="1" t="s">
        <v>626</v>
      </c>
      <c r="C597" s="1">
        <v>98.48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0.2</v>
      </c>
      <c r="O597" s="1">
        <v>1.32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3">
        <v>232</v>
      </c>
      <c r="AI597" s="3">
        <v>258</v>
      </c>
      <c r="AJ597" s="3">
        <v>15.6</v>
      </c>
    </row>
    <row r="598" spans="1:36" s="3" customFormat="1" x14ac:dyDescent="0.2">
      <c r="A598" s="3" t="s">
        <v>495</v>
      </c>
      <c r="B598" s="1" t="s">
        <v>626</v>
      </c>
      <c r="C598" s="1">
        <v>98.48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0.2</v>
      </c>
      <c r="O598" s="1">
        <v>1.32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3">
        <v>133</v>
      </c>
      <c r="AI598" s="3">
        <v>212</v>
      </c>
      <c r="AJ598" s="3">
        <v>24.8</v>
      </c>
    </row>
    <row r="599" spans="1:36" s="3" customFormat="1" x14ac:dyDescent="0.2">
      <c r="A599" s="3" t="s">
        <v>496</v>
      </c>
      <c r="B599" s="1" t="s">
        <v>626</v>
      </c>
      <c r="C599" s="1">
        <v>97.9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0.96</v>
      </c>
      <c r="O599" s="1">
        <v>1.1399999999999999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3">
        <v>204</v>
      </c>
      <c r="AI599" s="3">
        <v>248</v>
      </c>
      <c r="AJ599" s="3">
        <v>21</v>
      </c>
    </row>
    <row r="600" spans="1:36" s="3" customFormat="1" x14ac:dyDescent="0.2">
      <c r="A600" s="3" t="s">
        <v>497</v>
      </c>
      <c r="B600" s="1" t="s">
        <v>626</v>
      </c>
      <c r="C600" s="1">
        <v>97.9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0.96</v>
      </c>
      <c r="O600" s="1">
        <v>1.1399999999999999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3">
        <v>143</v>
      </c>
      <c r="AI600" s="3">
        <v>221</v>
      </c>
      <c r="AJ600" s="3">
        <v>28.5</v>
      </c>
    </row>
    <row r="601" spans="1:36" s="3" customFormat="1" x14ac:dyDescent="0.2">
      <c r="A601" s="3" t="s">
        <v>498</v>
      </c>
      <c r="B601" s="1" t="s">
        <v>626</v>
      </c>
      <c r="C601" s="1">
        <v>97.18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1.7399999999999998</v>
      </c>
      <c r="O601" s="1">
        <v>1.08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3">
        <v>204</v>
      </c>
      <c r="AI601" s="3">
        <v>252</v>
      </c>
      <c r="AJ601" s="3">
        <v>21</v>
      </c>
    </row>
    <row r="602" spans="1:36" s="3" customFormat="1" x14ac:dyDescent="0.2">
      <c r="A602" s="3" t="s">
        <v>499</v>
      </c>
      <c r="B602" s="1" t="s">
        <v>626</v>
      </c>
      <c r="C602" s="1">
        <v>97.18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1.7399999999999998</v>
      </c>
      <c r="O602" s="1">
        <v>1.08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3">
        <v>150</v>
      </c>
      <c r="AI602" s="3">
        <v>227</v>
      </c>
      <c r="AJ602" s="3">
        <v>27.8</v>
      </c>
    </row>
    <row r="603" spans="1:36" s="3" customFormat="1" x14ac:dyDescent="0.2">
      <c r="A603" s="3" t="s">
        <v>500</v>
      </c>
      <c r="B603" s="1" t="s">
        <v>628</v>
      </c>
      <c r="C603" s="1">
        <v>90.5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>
        <v>0</v>
      </c>
      <c r="Q603" s="1">
        <v>0</v>
      </c>
      <c r="R603" s="1">
        <v>0</v>
      </c>
      <c r="S603" s="1">
        <v>8.5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3">
        <v>90.4</v>
      </c>
      <c r="AI603" s="3">
        <v>121.2</v>
      </c>
      <c r="AJ603" s="3">
        <v>64</v>
      </c>
    </row>
    <row r="604" spans="1:36" s="3" customFormat="1" x14ac:dyDescent="0.2">
      <c r="A604" s="1" t="s">
        <v>493</v>
      </c>
      <c r="B604" s="1" t="s">
        <v>627</v>
      </c>
      <c r="C604" s="1">
        <v>99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25</v>
      </c>
      <c r="AI604" s="1">
        <v>75</v>
      </c>
      <c r="AJ604" s="1">
        <v>10</v>
      </c>
    </row>
    <row r="605" spans="1:36" s="3" customFormat="1" x14ac:dyDescent="0.2">
      <c r="A605" s="3" t="s">
        <v>501</v>
      </c>
      <c r="B605" s="1" t="s">
        <v>626</v>
      </c>
      <c r="C605" s="1">
        <v>92.7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4</v>
      </c>
      <c r="J605" s="1">
        <v>1</v>
      </c>
      <c r="K605" s="1">
        <v>0</v>
      </c>
      <c r="L605" s="1">
        <v>0</v>
      </c>
      <c r="M605" s="1">
        <v>0</v>
      </c>
      <c r="N605" s="1">
        <v>0.3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2</v>
      </c>
      <c r="AG605" s="1">
        <v>0</v>
      </c>
      <c r="AH605" s="3">
        <v>299</v>
      </c>
      <c r="AI605" s="3">
        <v>326.7</v>
      </c>
      <c r="AJ605" s="3">
        <v>3.6</v>
      </c>
    </row>
    <row r="606" spans="1:36" s="3" customFormat="1" x14ac:dyDescent="0.2">
      <c r="A606" s="3" t="s">
        <v>502</v>
      </c>
      <c r="B606" s="1" t="s">
        <v>626</v>
      </c>
      <c r="C606" s="1">
        <v>93.7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4</v>
      </c>
      <c r="J606" s="1">
        <v>0</v>
      </c>
      <c r="K606" s="1">
        <v>0</v>
      </c>
      <c r="L606" s="1">
        <v>0</v>
      </c>
      <c r="M606" s="1">
        <v>0</v>
      </c>
      <c r="N606" s="1">
        <v>0.3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2</v>
      </c>
      <c r="AG606" s="1">
        <v>0</v>
      </c>
      <c r="AH606" s="3">
        <v>262</v>
      </c>
      <c r="AI606" s="3">
        <v>296.39999999999998</v>
      </c>
      <c r="AJ606" s="3">
        <v>6.2</v>
      </c>
    </row>
    <row r="607" spans="1:36" s="3" customFormat="1" x14ac:dyDescent="0.2">
      <c r="A607" s="3" t="s">
        <v>503</v>
      </c>
      <c r="B607" s="1" t="s">
        <v>626</v>
      </c>
      <c r="C607" s="1">
        <v>98.02</v>
      </c>
      <c r="D607" s="1">
        <v>0</v>
      </c>
      <c r="E607" s="1">
        <v>0</v>
      </c>
      <c r="F607" s="1">
        <v>0</v>
      </c>
      <c r="G607" s="1">
        <v>0</v>
      </c>
      <c r="H607" s="1">
        <v>1.9799999999999998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3">
        <v>157</v>
      </c>
      <c r="AI607" s="3">
        <v>230</v>
      </c>
      <c r="AJ607" s="3">
        <v>16</v>
      </c>
    </row>
    <row r="608" spans="1:36" s="3" customFormat="1" x14ac:dyDescent="0.2">
      <c r="A608" s="3" t="s">
        <v>504</v>
      </c>
      <c r="B608" s="1" t="s">
        <v>626</v>
      </c>
      <c r="C608" s="1">
        <v>83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4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3">
        <v>150</v>
      </c>
      <c r="AI608" s="3">
        <v>179</v>
      </c>
      <c r="AJ608" s="3">
        <v>1.1000000000000001</v>
      </c>
    </row>
    <row r="609" spans="1:36" s="3" customFormat="1" x14ac:dyDescent="0.2">
      <c r="A609" s="3" t="s">
        <v>504</v>
      </c>
      <c r="B609" s="1" t="s">
        <v>626</v>
      </c>
      <c r="C609" s="1">
        <v>83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4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3">
        <v>134</v>
      </c>
      <c r="AI609" s="3">
        <v>161</v>
      </c>
      <c r="AJ609" s="3">
        <v>3</v>
      </c>
    </row>
    <row r="610" spans="1:36" s="3" customFormat="1" x14ac:dyDescent="0.2">
      <c r="A610" s="3" t="s">
        <v>505</v>
      </c>
      <c r="B610" s="1" t="s">
        <v>626</v>
      </c>
      <c r="C610" s="1">
        <v>85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4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11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3">
        <v>455</v>
      </c>
      <c r="AI610" s="3">
        <v>506</v>
      </c>
      <c r="AJ610" s="3">
        <v>2</v>
      </c>
    </row>
    <row r="611" spans="1:36" s="3" customFormat="1" x14ac:dyDescent="0.2">
      <c r="A611" s="1" t="s">
        <v>506</v>
      </c>
      <c r="B611" s="1" t="s">
        <v>626</v>
      </c>
      <c r="C611" s="1">
        <v>85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4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11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455</v>
      </c>
      <c r="AI611" s="1">
        <v>506</v>
      </c>
      <c r="AJ611" s="1">
        <v>1.6</v>
      </c>
    </row>
    <row r="612" spans="1:36" s="3" customFormat="1" x14ac:dyDescent="0.2">
      <c r="A612" s="3" t="s">
        <v>507</v>
      </c>
      <c r="B612" s="1" t="s">
        <v>626</v>
      </c>
      <c r="C612" s="1">
        <v>85.4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4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10.6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3">
        <v>401</v>
      </c>
      <c r="AI612" s="3">
        <v>450</v>
      </c>
      <c r="AJ612" s="3">
        <v>2.8</v>
      </c>
    </row>
    <row r="613" spans="1:36" s="3" customFormat="1" x14ac:dyDescent="0.2">
      <c r="A613" s="3" t="s">
        <v>508</v>
      </c>
      <c r="B613" s="1" t="s">
        <v>626</v>
      </c>
      <c r="C613" s="1">
        <v>85.4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4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10.6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3">
        <v>340</v>
      </c>
      <c r="AI613" s="3">
        <v>385</v>
      </c>
      <c r="AJ613" s="3">
        <v>0.8</v>
      </c>
    </row>
    <row r="614" spans="1:36" s="3" customFormat="1" x14ac:dyDescent="0.2">
      <c r="A614" s="3" t="s">
        <v>509</v>
      </c>
      <c r="B614" s="1" t="s">
        <v>626</v>
      </c>
      <c r="C614" s="1">
        <v>85.4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4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10.6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3">
        <v>326</v>
      </c>
      <c r="AI614" s="3">
        <v>383</v>
      </c>
      <c r="AJ614" s="3">
        <v>0.9</v>
      </c>
    </row>
    <row r="615" spans="1:36" s="3" customFormat="1" x14ac:dyDescent="0.2">
      <c r="A615" s="3" t="s">
        <v>510</v>
      </c>
      <c r="B615" s="1" t="s">
        <v>626</v>
      </c>
      <c r="C615" s="1">
        <v>94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6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3">
        <v>171</v>
      </c>
      <c r="AI615" s="3">
        <v>213</v>
      </c>
      <c r="AJ615" s="3">
        <v>6.1</v>
      </c>
    </row>
    <row r="616" spans="1:36" s="3" customFormat="1" x14ac:dyDescent="0.2">
      <c r="A616" s="3" t="s">
        <v>510</v>
      </c>
      <c r="B616" s="1" t="s">
        <v>626</v>
      </c>
      <c r="C616" s="1">
        <v>94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6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3">
        <v>159</v>
      </c>
      <c r="AI616" s="3">
        <v>192</v>
      </c>
      <c r="AJ616" s="3">
        <v>6.5</v>
      </c>
    </row>
    <row r="617" spans="1:36" s="3" customFormat="1" x14ac:dyDescent="0.2">
      <c r="A617" s="3" t="s">
        <v>511</v>
      </c>
      <c r="B617" s="1" t="s">
        <v>627</v>
      </c>
      <c r="C617" s="1">
        <v>96.6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2</v>
      </c>
      <c r="J617" s="1">
        <v>0</v>
      </c>
      <c r="K617" s="1">
        <v>0</v>
      </c>
      <c r="L617" s="1">
        <v>0</v>
      </c>
      <c r="M617" s="1">
        <v>0</v>
      </c>
      <c r="N617" s="1">
        <v>0.4</v>
      </c>
      <c r="O617" s="1">
        <v>0</v>
      </c>
      <c r="P617" s="1">
        <v>0</v>
      </c>
      <c r="Q617" s="1">
        <v>0</v>
      </c>
      <c r="R617" s="1">
        <v>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3">
        <v>110</v>
      </c>
      <c r="AI617" s="3">
        <v>170</v>
      </c>
      <c r="AJ617" s="3">
        <v>4</v>
      </c>
    </row>
    <row r="618" spans="1:36" s="3" customFormat="1" x14ac:dyDescent="0.2">
      <c r="A618" s="3" t="s">
        <v>512</v>
      </c>
      <c r="B618" s="1" t="s">
        <v>627</v>
      </c>
      <c r="C618" s="1">
        <v>94.7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4</v>
      </c>
      <c r="J618" s="1">
        <v>0</v>
      </c>
      <c r="K618" s="1">
        <v>0</v>
      </c>
      <c r="L618" s="1">
        <v>0</v>
      </c>
      <c r="M618" s="1">
        <v>0</v>
      </c>
      <c r="N618" s="1">
        <v>0.3</v>
      </c>
      <c r="O618" s="1">
        <v>0</v>
      </c>
      <c r="P618" s="1">
        <v>0</v>
      </c>
      <c r="Q618" s="1">
        <v>0</v>
      </c>
      <c r="R618" s="1">
        <v>1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3">
        <v>135</v>
      </c>
      <c r="AI618" s="3">
        <v>225</v>
      </c>
      <c r="AJ618" s="3">
        <v>4.5</v>
      </c>
    </row>
    <row r="619" spans="1:36" s="3" customFormat="1" x14ac:dyDescent="0.2">
      <c r="A619" s="3" t="s">
        <v>513</v>
      </c>
      <c r="B619" s="1" t="s">
        <v>627</v>
      </c>
      <c r="C619" s="1">
        <v>96.7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2.2000000000000002</v>
      </c>
      <c r="J619" s="1">
        <v>0</v>
      </c>
      <c r="K619" s="1">
        <v>0</v>
      </c>
      <c r="L619" s="1">
        <v>0</v>
      </c>
      <c r="M619" s="1">
        <v>0</v>
      </c>
      <c r="N619" s="1">
        <v>0.1</v>
      </c>
      <c r="O619" s="1">
        <v>0</v>
      </c>
      <c r="P619" s="1">
        <v>0</v>
      </c>
      <c r="Q619" s="1">
        <v>0</v>
      </c>
      <c r="R619" s="1">
        <v>1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3">
        <v>117</v>
      </c>
      <c r="AI619" s="3">
        <v>221</v>
      </c>
      <c r="AJ619" s="3">
        <v>13</v>
      </c>
    </row>
    <row r="620" spans="1:36" s="3" customFormat="1" x14ac:dyDescent="0.2">
      <c r="A620" s="3" t="s">
        <v>514</v>
      </c>
      <c r="B620" s="1" t="s">
        <v>627</v>
      </c>
      <c r="C620" s="1">
        <v>96.45</v>
      </c>
      <c r="D620" s="1">
        <v>0.03</v>
      </c>
      <c r="E620" s="1">
        <v>0.09</v>
      </c>
      <c r="F620" s="1">
        <v>3.5000000000000003E-2</v>
      </c>
      <c r="G620" s="1">
        <v>0</v>
      </c>
      <c r="H620" s="1">
        <v>0</v>
      </c>
      <c r="I620" s="1">
        <v>2.3450000000000002</v>
      </c>
      <c r="J620" s="1">
        <v>0</v>
      </c>
      <c r="K620" s="1">
        <v>0</v>
      </c>
      <c r="L620" s="1">
        <v>0</v>
      </c>
      <c r="M620" s="1">
        <v>0</v>
      </c>
      <c r="N620" s="1">
        <v>0.1</v>
      </c>
      <c r="O620" s="1">
        <v>0</v>
      </c>
      <c r="P620" s="1">
        <v>0</v>
      </c>
      <c r="Q620" s="1">
        <v>0</v>
      </c>
      <c r="R620" s="1">
        <v>0.95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3">
        <v>122</v>
      </c>
      <c r="AI620" s="3">
        <v>231</v>
      </c>
      <c r="AJ620" s="3">
        <v>13</v>
      </c>
    </row>
    <row r="621" spans="1:36" s="3" customFormat="1" x14ac:dyDescent="0.2">
      <c r="A621" s="3" t="s">
        <v>515</v>
      </c>
      <c r="B621" s="1" t="s">
        <v>629</v>
      </c>
      <c r="C621" s="1">
        <v>96.35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2.2999999999999998</v>
      </c>
      <c r="J621" s="1">
        <v>0</v>
      </c>
      <c r="K621" s="1">
        <v>0</v>
      </c>
      <c r="L621" s="1">
        <v>0</v>
      </c>
      <c r="M621" s="1">
        <v>0</v>
      </c>
      <c r="N621" s="1">
        <v>0.4</v>
      </c>
      <c r="O621" s="1">
        <v>0</v>
      </c>
      <c r="P621" s="1">
        <v>0</v>
      </c>
      <c r="Q621" s="1">
        <v>0</v>
      </c>
      <c r="R621" s="1">
        <v>0.95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3">
        <v>110</v>
      </c>
      <c r="AI621" s="3">
        <v>170</v>
      </c>
      <c r="AJ621" s="3">
        <v>4</v>
      </c>
    </row>
    <row r="622" spans="1:36" s="3" customFormat="1" x14ac:dyDescent="0.2">
      <c r="A622" s="3" t="s">
        <v>516</v>
      </c>
      <c r="B622" s="1" t="s">
        <v>625</v>
      </c>
      <c r="C622" s="1">
        <v>92.5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1.6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5.9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3">
        <v>85</v>
      </c>
      <c r="AI622" s="3">
        <v>95</v>
      </c>
      <c r="AJ622" s="3">
        <v>0.24</v>
      </c>
    </row>
    <row r="623" spans="1:36" s="3" customFormat="1" x14ac:dyDescent="0.2">
      <c r="A623" s="3" t="s">
        <v>517</v>
      </c>
      <c r="B623" s="1" t="s">
        <v>627</v>
      </c>
      <c r="C623" s="1">
        <f>((100-(D623+E623+F623+G623))/100)*100</f>
        <v>97.02</v>
      </c>
      <c r="D623" s="1">
        <v>2.36</v>
      </c>
      <c r="E623" s="1">
        <v>0.03</v>
      </c>
      <c r="F623" s="1">
        <v>0.59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3">
        <v>136.82197499999998</v>
      </c>
      <c r="AI623" s="3">
        <v>161.92352500000001</v>
      </c>
      <c r="AJ623" s="3">
        <v>4.0499324999999997</v>
      </c>
    </row>
    <row r="624" spans="1:36" s="3" customFormat="1" x14ac:dyDescent="0.2">
      <c r="A624" s="3" t="s">
        <v>518</v>
      </c>
      <c r="B624" s="1" t="s">
        <v>627</v>
      </c>
      <c r="C624" s="1">
        <f>((100-(D624+E624+F624+G624))/100)*100</f>
        <v>97.03</v>
      </c>
      <c r="D624" s="1">
        <v>1.76</v>
      </c>
      <c r="E624" s="1">
        <v>0.02</v>
      </c>
      <c r="F624" s="1">
        <v>1.19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3">
        <v>138.92948333333337</v>
      </c>
      <c r="AI624" s="3">
        <v>168.67923333333331</v>
      </c>
      <c r="AJ624" s="3">
        <v>4.6653539999999998</v>
      </c>
    </row>
    <row r="625" spans="1:36" s="3" customFormat="1" x14ac:dyDescent="0.2">
      <c r="A625" s="3" t="s">
        <v>519</v>
      </c>
      <c r="B625" s="1" t="s">
        <v>627</v>
      </c>
      <c r="C625" s="1">
        <f>((100-(D625+E625+F625+G625))/100)*100</f>
        <v>96.65</v>
      </c>
      <c r="D625" s="1">
        <v>1.32</v>
      </c>
      <c r="E625" s="1">
        <v>2.02</v>
      </c>
      <c r="F625" s="1">
        <v>0.01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3">
        <v>149.03970000000001</v>
      </c>
      <c r="AI625" s="3">
        <v>166.15247499999998</v>
      </c>
      <c r="AJ625" s="3">
        <v>3.7848394999999999</v>
      </c>
    </row>
    <row r="626" spans="1:36" s="3" customFormat="1" x14ac:dyDescent="0.2">
      <c r="A626" s="3" t="s">
        <v>520</v>
      </c>
      <c r="B626" s="1" t="s">
        <v>627</v>
      </c>
      <c r="C626" s="1">
        <f>((100-(D626+E626+F626+G626))/100)*100</f>
        <v>97.12</v>
      </c>
      <c r="D626" s="1">
        <v>1.17</v>
      </c>
      <c r="E626" s="1">
        <v>0.02</v>
      </c>
      <c r="F626" s="1">
        <v>1.69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3">
        <v>141.40674999999999</v>
      </c>
      <c r="AI626" s="3">
        <v>173.30893333333333</v>
      </c>
      <c r="AJ626" s="3">
        <v>4.5584303333333338</v>
      </c>
    </row>
    <row r="627" spans="1:36" s="3" customFormat="1" x14ac:dyDescent="0.2">
      <c r="A627" s="3" t="s">
        <v>521</v>
      </c>
      <c r="B627" s="1" t="s">
        <v>627</v>
      </c>
      <c r="C627" s="1">
        <v>91.55</v>
      </c>
      <c r="D627" s="1">
        <v>1</v>
      </c>
      <c r="E627" s="1">
        <v>2</v>
      </c>
      <c r="F627" s="1">
        <v>1</v>
      </c>
      <c r="G627" s="1">
        <v>0</v>
      </c>
      <c r="H627" s="1">
        <v>0</v>
      </c>
      <c r="I627" s="1">
        <v>4.1500000000000004</v>
      </c>
      <c r="J627" s="1">
        <v>0</v>
      </c>
      <c r="K627" s="1">
        <v>0</v>
      </c>
      <c r="L627" s="1">
        <v>0</v>
      </c>
      <c r="M627" s="1">
        <v>0</v>
      </c>
      <c r="N627" s="1">
        <v>0.3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3">
        <v>135.5</v>
      </c>
      <c r="AI627" s="3">
        <v>242.5</v>
      </c>
      <c r="AJ627" s="3">
        <v>9</v>
      </c>
    </row>
    <row r="628" spans="1:36" s="3" customFormat="1" x14ac:dyDescent="0.2">
      <c r="A628" s="3" t="s">
        <v>522</v>
      </c>
      <c r="B628" s="1" t="s">
        <v>626</v>
      </c>
      <c r="C628" s="1">
        <v>98.11</v>
      </c>
      <c r="D628" s="1">
        <v>0.93999999999999984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0.95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3">
        <v>151</v>
      </c>
      <c r="AI628" s="3">
        <v>214</v>
      </c>
      <c r="AJ628" s="3">
        <v>36</v>
      </c>
    </row>
    <row r="629" spans="1:36" s="3" customFormat="1" x14ac:dyDescent="0.2">
      <c r="A629" s="3" t="s">
        <v>523</v>
      </c>
      <c r="B629" s="1" t="s">
        <v>626</v>
      </c>
      <c r="C629" s="1">
        <v>98.11</v>
      </c>
      <c r="D629" s="1">
        <v>0.93999999999999984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0.95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3">
        <v>102</v>
      </c>
      <c r="AI629" s="3">
        <v>196</v>
      </c>
      <c r="AJ629" s="3">
        <v>41.7</v>
      </c>
    </row>
    <row r="630" spans="1:36" s="3" customFormat="1" x14ac:dyDescent="0.2">
      <c r="A630" s="3" t="s">
        <v>524</v>
      </c>
      <c r="B630" s="1" t="s">
        <v>627</v>
      </c>
      <c r="C630" s="1">
        <f>((100-(D630+E630+F630+G630))/100)*100</f>
        <v>96.98</v>
      </c>
      <c r="D630" s="1">
        <v>0.91</v>
      </c>
      <c r="E630" s="1">
        <v>2.1</v>
      </c>
      <c r="F630" s="1">
        <v>0.01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3">
        <v>143.70505000000003</v>
      </c>
      <c r="AI630" s="3">
        <v>159.47677499999998</v>
      </c>
      <c r="AJ630" s="3">
        <v>3.5233115000000002</v>
      </c>
    </row>
    <row r="631" spans="1:36" s="3" customFormat="1" x14ac:dyDescent="0.2">
      <c r="A631" s="3" t="s">
        <v>525</v>
      </c>
      <c r="B631" s="1" t="s">
        <v>627</v>
      </c>
      <c r="C631" s="1">
        <f>((100-(D631+E631+F631+G631))/100)*100</f>
        <v>96.57</v>
      </c>
      <c r="D631" s="1">
        <v>0.83</v>
      </c>
      <c r="E631" s="1">
        <v>0.01</v>
      </c>
      <c r="F631" s="1">
        <v>2.59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3">
        <v>151.45157499999999</v>
      </c>
      <c r="AI631" s="3">
        <v>169.39422500000001</v>
      </c>
      <c r="AJ631" s="3">
        <v>2.3252164999999998</v>
      </c>
    </row>
    <row r="632" spans="1:36" s="3" customFormat="1" x14ac:dyDescent="0.2">
      <c r="A632" s="1" t="s">
        <v>526</v>
      </c>
      <c r="B632" s="1" t="s">
        <v>627</v>
      </c>
      <c r="C632" s="1">
        <v>93.4</v>
      </c>
      <c r="D632" s="1">
        <v>0.8</v>
      </c>
      <c r="E632" s="1">
        <v>0.8</v>
      </c>
      <c r="F632" s="1">
        <v>0.8</v>
      </c>
      <c r="G632" s="1">
        <v>0</v>
      </c>
      <c r="H632" s="1">
        <v>0</v>
      </c>
      <c r="I632" s="1">
        <v>4</v>
      </c>
      <c r="J632" s="1">
        <v>0</v>
      </c>
      <c r="K632" s="1">
        <v>0</v>
      </c>
      <c r="L632" s="1">
        <v>0</v>
      </c>
      <c r="M632" s="1">
        <v>0</v>
      </c>
      <c r="N632" s="1">
        <v>0.2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145</v>
      </c>
      <c r="AI632" s="1">
        <v>234</v>
      </c>
      <c r="AJ632" s="1">
        <v>11</v>
      </c>
    </row>
    <row r="633" spans="1:36" s="3" customFormat="1" x14ac:dyDescent="0.2">
      <c r="A633" s="3" t="s">
        <v>527</v>
      </c>
      <c r="B633" s="3" t="s">
        <v>627</v>
      </c>
      <c r="C633" s="1">
        <f>((100-(D633+E633+F633+G633))/100)*100</f>
        <v>97.22</v>
      </c>
      <c r="D633" s="1">
        <v>0.64</v>
      </c>
      <c r="E633" s="1">
        <v>2.13</v>
      </c>
      <c r="F633" s="1">
        <v>0.01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3">
        <v>142.9021875</v>
      </c>
      <c r="AI633" s="3">
        <v>169.29204999999999</v>
      </c>
      <c r="AJ633" s="3">
        <v>4.5896280000000003</v>
      </c>
    </row>
    <row r="634" spans="1:36" s="3" customFormat="1" x14ac:dyDescent="0.2">
      <c r="A634" s="3" t="s">
        <v>528</v>
      </c>
      <c r="B634" s="1" t="s">
        <v>627</v>
      </c>
      <c r="C634" s="1">
        <f>((100-(D634+E634+F634+G634))/100)*100</f>
        <v>96.78</v>
      </c>
      <c r="D634" s="1">
        <v>0.6</v>
      </c>
      <c r="E634" s="1">
        <v>0.01</v>
      </c>
      <c r="F634" s="1">
        <v>2.61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3">
        <v>146.7197875</v>
      </c>
      <c r="AI634" s="3">
        <v>166.737225</v>
      </c>
      <c r="AJ634" s="3">
        <v>2.68757475</v>
      </c>
    </row>
    <row r="635" spans="1:36" s="3" customFormat="1" x14ac:dyDescent="0.2">
      <c r="A635" s="3" t="s">
        <v>529</v>
      </c>
      <c r="B635" s="1" t="s">
        <v>627</v>
      </c>
      <c r="C635" s="1">
        <f>((100-(D635+E635+F635+G635))/100)*100</f>
        <v>97.1</v>
      </c>
      <c r="D635" s="1">
        <v>0.56000000000000005</v>
      </c>
      <c r="E635" s="1">
        <v>0.01</v>
      </c>
      <c r="F635" s="1">
        <v>2.33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3">
        <v>139.36070000000001</v>
      </c>
      <c r="AI635" s="3">
        <v>167.38272499999999</v>
      </c>
      <c r="AJ635" s="3">
        <v>3.0925724999999997</v>
      </c>
    </row>
    <row r="636" spans="1:36" s="3" customFormat="1" x14ac:dyDescent="0.2">
      <c r="A636" s="3" t="s">
        <v>530</v>
      </c>
      <c r="B636" s="1" t="s">
        <v>627</v>
      </c>
      <c r="C636" s="1">
        <v>93.05</v>
      </c>
      <c r="D636" s="1">
        <v>0.5</v>
      </c>
      <c r="E636" s="1">
        <v>1.5</v>
      </c>
      <c r="F636" s="1">
        <v>0.5</v>
      </c>
      <c r="G636" s="1">
        <v>0</v>
      </c>
      <c r="H636" s="1">
        <v>0</v>
      </c>
      <c r="I636" s="1">
        <v>4.1500000000000004</v>
      </c>
      <c r="J636" s="1">
        <v>0</v>
      </c>
      <c r="K636" s="1">
        <v>0</v>
      </c>
      <c r="L636" s="1">
        <v>0</v>
      </c>
      <c r="M636" s="1">
        <v>0</v>
      </c>
      <c r="N636" s="1">
        <v>0.3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3">
        <v>142.5</v>
      </c>
      <c r="AI636" s="3">
        <v>210</v>
      </c>
      <c r="AJ636" s="3">
        <v>10</v>
      </c>
    </row>
    <row r="637" spans="1:36" s="3" customFormat="1" x14ac:dyDescent="0.2">
      <c r="A637" s="3" t="s">
        <v>531</v>
      </c>
      <c r="B637" s="1" t="s">
        <v>627</v>
      </c>
      <c r="C637" s="1">
        <f t="shared" ref="C637:C644" si="8">((100-(D637+E637+F637+G637))/100)*100</f>
        <v>97.08</v>
      </c>
      <c r="D637" s="1">
        <v>0.35</v>
      </c>
      <c r="E637" s="1">
        <v>0.01</v>
      </c>
      <c r="F637" s="1">
        <v>2.56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3">
        <v>138.72694999999999</v>
      </c>
      <c r="AI637" s="3">
        <v>167.60302499999997</v>
      </c>
      <c r="AJ637" s="3">
        <v>2.7919657499999997</v>
      </c>
    </row>
    <row r="638" spans="1:36" s="3" customFormat="1" x14ac:dyDescent="0.2">
      <c r="A638" s="3" t="s">
        <v>532</v>
      </c>
      <c r="B638" s="1" t="s">
        <v>627</v>
      </c>
      <c r="C638" s="1">
        <f t="shared" si="8"/>
        <v>97.47</v>
      </c>
      <c r="D638" s="1">
        <v>0.1</v>
      </c>
      <c r="E638" s="1">
        <v>2.42</v>
      </c>
      <c r="F638" s="1">
        <v>0.01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3">
        <v>132.83885000000001</v>
      </c>
      <c r="AI638" s="3">
        <v>158.15226666666666</v>
      </c>
      <c r="AJ638" s="3">
        <v>3.5320370000000003</v>
      </c>
    </row>
    <row r="639" spans="1:36" s="3" customFormat="1" x14ac:dyDescent="0.2">
      <c r="A639" s="3" t="s">
        <v>533</v>
      </c>
      <c r="B639" s="1" t="s">
        <v>627</v>
      </c>
      <c r="C639" s="1">
        <f t="shared" si="8"/>
        <v>97.35</v>
      </c>
      <c r="D639" s="1">
        <v>0.09</v>
      </c>
      <c r="E639" s="1">
        <v>0.01</v>
      </c>
      <c r="F639" s="1">
        <v>2.5499999999999998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3">
        <v>135.63757500000003</v>
      </c>
      <c r="AI639" s="3">
        <v>168.859475</v>
      </c>
      <c r="AJ639" s="3">
        <v>3.058643</v>
      </c>
    </row>
    <row r="640" spans="1:36" s="3" customFormat="1" x14ac:dyDescent="0.2">
      <c r="A640" s="3" t="s">
        <v>534</v>
      </c>
      <c r="B640" s="1" t="s">
        <v>627</v>
      </c>
      <c r="C640" s="1">
        <f t="shared" si="8"/>
        <v>97.12</v>
      </c>
      <c r="D640" s="1">
        <v>0.01</v>
      </c>
      <c r="E640" s="1">
        <v>0.21</v>
      </c>
      <c r="F640" s="1">
        <v>2.66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3">
        <v>143.6106375</v>
      </c>
      <c r="AI640" s="3">
        <v>178.12167499999998</v>
      </c>
      <c r="AJ640" s="3">
        <v>3.7691557500000004</v>
      </c>
    </row>
    <row r="641" spans="1:36" s="3" customFormat="1" x14ac:dyDescent="0.2">
      <c r="A641" s="3" t="s">
        <v>535</v>
      </c>
      <c r="B641" s="1" t="s">
        <v>627</v>
      </c>
      <c r="C641" s="1">
        <f t="shared" si="8"/>
        <v>96.14</v>
      </c>
      <c r="D641" s="1">
        <v>0.01</v>
      </c>
      <c r="E641" s="1">
        <v>1.24</v>
      </c>
      <c r="F641" s="1">
        <v>2.61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3">
        <v>159.37693333333334</v>
      </c>
      <c r="AI641" s="3">
        <v>180.67966666666666</v>
      </c>
      <c r="AJ641" s="3">
        <v>1.9742813333333331</v>
      </c>
    </row>
    <row r="642" spans="1:36" s="3" customFormat="1" x14ac:dyDescent="0.2">
      <c r="A642" s="3" t="s">
        <v>536</v>
      </c>
      <c r="B642" s="1" t="s">
        <v>627</v>
      </c>
      <c r="C642" s="1">
        <f t="shared" si="8"/>
        <v>95.74</v>
      </c>
      <c r="D642" s="1">
        <v>0.01</v>
      </c>
      <c r="E642" s="1">
        <v>1.7000000000000002</v>
      </c>
      <c r="F642" s="1">
        <v>2.5499999999999998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3">
        <v>166.91561666666666</v>
      </c>
      <c r="AI642" s="3">
        <v>186.88580000000002</v>
      </c>
      <c r="AJ642" s="3">
        <v>1.8383230000000002</v>
      </c>
    </row>
    <row r="643" spans="1:36" s="3" customFormat="1" x14ac:dyDescent="0.2">
      <c r="A643" s="3" t="s">
        <v>537</v>
      </c>
      <c r="B643" s="1" t="s">
        <v>627</v>
      </c>
      <c r="C643" s="1">
        <f t="shared" si="8"/>
        <v>96.61</v>
      </c>
      <c r="D643" s="1">
        <v>0.01</v>
      </c>
      <c r="E643" s="1">
        <v>0.85000000000000009</v>
      </c>
      <c r="F643" s="1">
        <v>2.5299999999999998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3">
        <v>154.07641249999998</v>
      </c>
      <c r="AI643" s="3">
        <v>177.74664999999999</v>
      </c>
      <c r="AJ643" s="3">
        <v>2.4483677500000001</v>
      </c>
    </row>
    <row r="644" spans="1:36" s="3" customFormat="1" x14ac:dyDescent="0.2">
      <c r="A644" s="3" t="s">
        <v>538</v>
      </c>
      <c r="B644" s="1" t="s">
        <v>627</v>
      </c>
      <c r="C644" s="1">
        <f t="shared" si="8"/>
        <v>96.83</v>
      </c>
      <c r="D644" s="1">
        <v>0.01</v>
      </c>
      <c r="E644" s="1">
        <v>1.95</v>
      </c>
      <c r="F644" s="1">
        <v>1.21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3">
        <v>146.39420000000001</v>
      </c>
      <c r="AI644" s="3">
        <v>172.71282500000001</v>
      </c>
      <c r="AJ644" s="3">
        <v>3.3529742499999999</v>
      </c>
    </row>
    <row r="645" spans="1:36" s="3" customFormat="1" x14ac:dyDescent="0.2">
      <c r="A645" s="3" t="s">
        <v>539</v>
      </c>
      <c r="B645" s="1" t="s">
        <v>626</v>
      </c>
      <c r="C645" s="1">
        <v>98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2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3">
        <v>160</v>
      </c>
      <c r="AI645" s="3">
        <v>215</v>
      </c>
      <c r="AJ645" s="3">
        <v>4</v>
      </c>
    </row>
    <row r="646" spans="1:36" s="3" customFormat="1" x14ac:dyDescent="0.2">
      <c r="A646" s="3" t="s">
        <v>540</v>
      </c>
      <c r="B646" s="1" t="s">
        <v>626</v>
      </c>
      <c r="C646" s="1">
        <v>98.22</v>
      </c>
      <c r="D646" s="1">
        <v>0</v>
      </c>
      <c r="E646" s="1">
        <v>0.38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1.4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3">
        <v>173.7</v>
      </c>
      <c r="AI646" s="3">
        <v>280.89999999999998</v>
      </c>
      <c r="AJ646" s="3">
        <v>19.600000000000001</v>
      </c>
    </row>
    <row r="647" spans="1:36" s="3" customFormat="1" x14ac:dyDescent="0.2">
      <c r="A647" s="3" t="s">
        <v>541</v>
      </c>
      <c r="B647" s="1" t="s">
        <v>626</v>
      </c>
      <c r="C647" s="1">
        <v>98.8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1.2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3">
        <v>192</v>
      </c>
      <c r="AI647" s="3">
        <v>268</v>
      </c>
      <c r="AJ647" s="3">
        <v>12</v>
      </c>
    </row>
    <row r="648" spans="1:36" s="3" customFormat="1" x14ac:dyDescent="0.2">
      <c r="A648" s="3" t="s">
        <v>542</v>
      </c>
      <c r="B648" s="1" t="s">
        <v>626</v>
      </c>
      <c r="C648" s="1">
        <v>99.01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0.98999999999999988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3">
        <v>183</v>
      </c>
      <c r="AI648" s="3">
        <v>243</v>
      </c>
      <c r="AJ648" s="3">
        <v>6.1</v>
      </c>
    </row>
    <row r="649" spans="1:36" s="3" customFormat="1" x14ac:dyDescent="0.2">
      <c r="A649" s="3" t="s">
        <v>543</v>
      </c>
      <c r="B649" s="1" t="s">
        <v>626</v>
      </c>
      <c r="C649" s="1">
        <v>99.01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0.98999999999999988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3">
        <v>189</v>
      </c>
      <c r="AI649" s="3">
        <v>261</v>
      </c>
      <c r="AJ649" s="3">
        <v>5.3</v>
      </c>
    </row>
    <row r="650" spans="1:36" s="3" customFormat="1" x14ac:dyDescent="0.2">
      <c r="A650" s="3" t="s">
        <v>544</v>
      </c>
      <c r="B650" s="1" t="s">
        <v>626</v>
      </c>
      <c r="C650" s="1">
        <v>98.19</v>
      </c>
      <c r="D650" s="1">
        <v>0</v>
      </c>
      <c r="E650" s="1">
        <v>0.86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0.95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3">
        <v>288</v>
      </c>
      <c r="AI650" s="3">
        <v>300</v>
      </c>
      <c r="AJ650" s="3">
        <v>15.6</v>
      </c>
    </row>
    <row r="651" spans="1:36" s="3" customFormat="1" x14ac:dyDescent="0.2">
      <c r="A651" s="3" t="s">
        <v>545</v>
      </c>
      <c r="B651" s="1" t="s">
        <v>626</v>
      </c>
      <c r="C651" s="1">
        <v>98.19</v>
      </c>
      <c r="D651" s="1">
        <v>0</v>
      </c>
      <c r="E651" s="1">
        <v>0.86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0.95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3">
        <v>189</v>
      </c>
      <c r="AI651" s="3">
        <v>251</v>
      </c>
      <c r="AJ651" s="3">
        <v>18.600000000000001</v>
      </c>
    </row>
    <row r="652" spans="1:36" s="3" customFormat="1" x14ac:dyDescent="0.2">
      <c r="A652" s="3" t="s">
        <v>546</v>
      </c>
      <c r="B652" s="1" t="s">
        <v>626</v>
      </c>
      <c r="C652" s="1">
        <v>98.94</v>
      </c>
      <c r="D652" s="1">
        <v>0</v>
      </c>
      <c r="E652" s="1">
        <v>0.42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0.64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3">
        <v>104.7</v>
      </c>
      <c r="AI652" s="3">
        <v>223.9</v>
      </c>
      <c r="AJ652" s="3">
        <v>12.1</v>
      </c>
    </row>
    <row r="653" spans="1:36" s="3" customFormat="1" x14ac:dyDescent="0.2">
      <c r="A653" s="3" t="s">
        <v>547</v>
      </c>
      <c r="B653" s="1" t="s">
        <v>629</v>
      </c>
      <c r="C653" s="1">
        <v>97.25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2.2250000000000001</v>
      </c>
      <c r="J653" s="1">
        <v>0</v>
      </c>
      <c r="K653" s="1">
        <v>0</v>
      </c>
      <c r="L653" s="1">
        <v>0</v>
      </c>
      <c r="M653" s="1">
        <v>0</v>
      </c>
      <c r="N653" s="1">
        <v>0.52500000000000002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3">
        <v>105</v>
      </c>
      <c r="AI653" s="3">
        <v>185</v>
      </c>
      <c r="AJ653" s="3">
        <v>9.75</v>
      </c>
    </row>
    <row r="654" spans="1:36" s="3" customFormat="1" x14ac:dyDescent="0.2">
      <c r="A654" s="3" t="s">
        <v>548</v>
      </c>
      <c r="B654" s="1" t="s">
        <v>627</v>
      </c>
      <c r="C654" s="1">
        <v>97.5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2</v>
      </c>
      <c r="J654" s="1">
        <v>0</v>
      </c>
      <c r="K654" s="1">
        <v>0</v>
      </c>
      <c r="L654" s="1">
        <v>0</v>
      </c>
      <c r="M654" s="1">
        <v>0</v>
      </c>
      <c r="N654" s="1">
        <v>0.5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3">
        <v>105</v>
      </c>
      <c r="AI654" s="3">
        <v>135</v>
      </c>
      <c r="AJ654" s="3">
        <v>10</v>
      </c>
    </row>
    <row r="655" spans="1:36" s="3" customFormat="1" x14ac:dyDescent="0.2">
      <c r="A655" s="3" t="s">
        <v>549</v>
      </c>
      <c r="B655" s="1" t="s">
        <v>625</v>
      </c>
      <c r="C655" s="1">
        <v>94.5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5.07</v>
      </c>
      <c r="J655" s="1">
        <v>0</v>
      </c>
      <c r="K655" s="1">
        <v>0</v>
      </c>
      <c r="L655" s="1">
        <v>0</v>
      </c>
      <c r="M655" s="1">
        <v>0</v>
      </c>
      <c r="N655" s="1">
        <v>0.43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3">
        <v>125</v>
      </c>
      <c r="AI655" s="3">
        <v>197.5</v>
      </c>
      <c r="AJ655" s="3">
        <v>7</v>
      </c>
    </row>
    <row r="656" spans="1:36" s="3" customFormat="1" x14ac:dyDescent="0.2">
      <c r="A656" s="3" t="s">
        <v>550</v>
      </c>
      <c r="B656" s="1" t="s">
        <v>627</v>
      </c>
      <c r="C656" s="1">
        <v>93.45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6.13</v>
      </c>
      <c r="J656" s="1">
        <v>0</v>
      </c>
      <c r="K656" s="1">
        <v>0</v>
      </c>
      <c r="L656" s="1">
        <v>0</v>
      </c>
      <c r="M656" s="1">
        <v>0</v>
      </c>
      <c r="N656" s="1">
        <v>0.42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3">
        <v>136.5</v>
      </c>
      <c r="AI656" s="3">
        <v>231</v>
      </c>
      <c r="AJ656" s="3">
        <v>7</v>
      </c>
    </row>
    <row r="657" spans="1:56" s="3" customFormat="1" x14ac:dyDescent="0.2">
      <c r="A657" s="3" t="s">
        <v>551</v>
      </c>
      <c r="B657" s="1" t="s">
        <v>626</v>
      </c>
      <c r="C657" s="1">
        <v>92.8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3.5000000000000004</v>
      </c>
      <c r="J657" s="1">
        <v>3.3000000000000003</v>
      </c>
      <c r="K657" s="1">
        <v>0</v>
      </c>
      <c r="L657" s="1">
        <v>0</v>
      </c>
      <c r="M657" s="1">
        <v>0</v>
      </c>
      <c r="N657" s="1">
        <v>0.4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3">
        <v>410</v>
      </c>
      <c r="AI657" s="3">
        <v>420</v>
      </c>
      <c r="AJ657" s="3">
        <v>5.6</v>
      </c>
    </row>
    <row r="658" spans="1:56" s="3" customFormat="1" x14ac:dyDescent="0.2">
      <c r="A658" s="3" t="s">
        <v>552</v>
      </c>
      <c r="B658" s="1" t="s">
        <v>629</v>
      </c>
      <c r="C658" s="1">
        <v>93.632910719999998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6</v>
      </c>
      <c r="J658" s="1">
        <v>0</v>
      </c>
      <c r="K658" s="1">
        <v>0</v>
      </c>
      <c r="L658" s="1">
        <v>0</v>
      </c>
      <c r="M658" s="1">
        <v>0</v>
      </c>
      <c r="N658" s="1">
        <v>0.36708928000000002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3">
        <v>135</v>
      </c>
      <c r="AI658" s="3">
        <v>210</v>
      </c>
      <c r="AJ658" s="3">
        <v>6</v>
      </c>
    </row>
    <row r="659" spans="1:56" s="3" customFormat="1" x14ac:dyDescent="0.2">
      <c r="A659" s="3" t="s">
        <v>553</v>
      </c>
      <c r="B659" s="1" t="s">
        <v>627</v>
      </c>
      <c r="C659" s="1">
        <v>94.7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5</v>
      </c>
      <c r="J659" s="1">
        <v>0</v>
      </c>
      <c r="K659" s="1">
        <v>0</v>
      </c>
      <c r="L659" s="1">
        <v>0</v>
      </c>
      <c r="M659" s="1">
        <v>0</v>
      </c>
      <c r="N659" s="1">
        <v>0.3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3">
        <v>125</v>
      </c>
      <c r="AI659" s="3">
        <v>200</v>
      </c>
      <c r="AJ659" s="3">
        <v>7</v>
      </c>
    </row>
    <row r="660" spans="1:56" s="3" customFormat="1" x14ac:dyDescent="0.2">
      <c r="A660" s="3" t="s">
        <v>554</v>
      </c>
      <c r="B660" s="1" t="s">
        <v>626</v>
      </c>
      <c r="C660" s="1">
        <v>99.36</v>
      </c>
      <c r="D660" s="1">
        <v>0</v>
      </c>
      <c r="E660" s="1">
        <v>0.4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0.24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3">
        <v>73</v>
      </c>
      <c r="AI660" s="3">
        <v>229.5</v>
      </c>
      <c r="AJ660" s="3">
        <v>23.7</v>
      </c>
    </row>
    <row r="661" spans="1:56" s="3" customFormat="1" x14ac:dyDescent="0.2">
      <c r="A661" s="3" t="s">
        <v>779</v>
      </c>
      <c r="B661" s="1" t="s">
        <v>627</v>
      </c>
      <c r="C661" s="16">
        <v>89.25</v>
      </c>
      <c r="D661" s="16">
        <v>0</v>
      </c>
      <c r="E661" s="16">
        <v>0</v>
      </c>
      <c r="F661" s="16">
        <v>0</v>
      </c>
      <c r="G661" s="16">
        <v>0</v>
      </c>
      <c r="H661" s="16">
        <v>0</v>
      </c>
      <c r="I661" s="16">
        <v>10.525</v>
      </c>
      <c r="J661" s="16">
        <v>0</v>
      </c>
      <c r="K661" s="16">
        <v>0</v>
      </c>
      <c r="L661" s="16">
        <v>0</v>
      </c>
      <c r="M661" s="16">
        <v>0</v>
      </c>
      <c r="N661" s="16">
        <v>0.22500000000000001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0</v>
      </c>
      <c r="AH661" s="3">
        <v>130</v>
      </c>
      <c r="AI661" s="3">
        <v>260</v>
      </c>
      <c r="AJ661" s="3">
        <v>1</v>
      </c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s="3" customFormat="1" x14ac:dyDescent="0.2">
      <c r="A662" s="3" t="s">
        <v>555</v>
      </c>
      <c r="B662" s="1" t="s">
        <v>627</v>
      </c>
      <c r="C662" s="1">
        <v>89.25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10.525</v>
      </c>
      <c r="J662" s="1">
        <v>0</v>
      </c>
      <c r="K662" s="1">
        <v>0</v>
      </c>
      <c r="L662" s="1">
        <v>0</v>
      </c>
      <c r="M662" s="1">
        <v>0</v>
      </c>
      <c r="N662" s="1">
        <v>0.22500000000000003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3">
        <v>78</v>
      </c>
      <c r="AI662" s="3">
        <v>160</v>
      </c>
      <c r="AJ662" s="3">
        <v>3.8</v>
      </c>
    </row>
    <row r="663" spans="1:56" s="3" customFormat="1" x14ac:dyDescent="0.2">
      <c r="A663" s="3" t="s">
        <v>556</v>
      </c>
      <c r="B663" s="1" t="s">
        <v>625</v>
      </c>
      <c r="C663" s="1">
        <v>89.25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10.525</v>
      </c>
      <c r="J663" s="1">
        <v>0</v>
      </c>
      <c r="K663" s="1">
        <v>0</v>
      </c>
      <c r="L663" s="1">
        <v>0</v>
      </c>
      <c r="M663" s="1">
        <v>0</v>
      </c>
      <c r="N663" s="1">
        <v>0.22500000000000003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3">
        <v>78</v>
      </c>
      <c r="AI663" s="3">
        <v>260</v>
      </c>
      <c r="AJ663" s="3">
        <v>6.8</v>
      </c>
    </row>
    <row r="664" spans="1:56" s="3" customFormat="1" x14ac:dyDescent="0.2">
      <c r="A664" s="3" t="s">
        <v>557</v>
      </c>
      <c r="B664" s="1" t="s">
        <v>625</v>
      </c>
      <c r="C664" s="1">
        <v>89.25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10.525</v>
      </c>
      <c r="J664" s="1">
        <v>0</v>
      </c>
      <c r="K664" s="1">
        <v>0</v>
      </c>
      <c r="L664" s="1">
        <v>0</v>
      </c>
      <c r="M664" s="1">
        <v>0</v>
      </c>
      <c r="N664" s="1">
        <v>0.22500000000000003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3">
        <v>140</v>
      </c>
      <c r="AI664" s="3">
        <v>270</v>
      </c>
      <c r="AJ664" s="3">
        <v>1</v>
      </c>
    </row>
    <row r="665" spans="1:56" s="3" customFormat="1" x14ac:dyDescent="0.2">
      <c r="A665" s="3" t="s">
        <v>558</v>
      </c>
      <c r="B665" s="1" t="s">
        <v>625</v>
      </c>
      <c r="C665" s="1">
        <v>89.25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10.525</v>
      </c>
      <c r="J665" s="1">
        <v>0</v>
      </c>
      <c r="K665" s="1">
        <v>0</v>
      </c>
      <c r="L665" s="1">
        <v>0</v>
      </c>
      <c r="M665" s="1">
        <v>0</v>
      </c>
      <c r="N665" s="1">
        <v>0.22500000000000003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3">
        <v>120</v>
      </c>
      <c r="AI665" s="3">
        <v>270</v>
      </c>
      <c r="AJ665" s="3">
        <v>2.2999999999999998</v>
      </c>
    </row>
    <row r="666" spans="1:56" s="3" customFormat="1" x14ac:dyDescent="0.2">
      <c r="A666" s="3" t="s">
        <v>559</v>
      </c>
      <c r="B666" s="1" t="s">
        <v>625</v>
      </c>
      <c r="C666" s="1">
        <v>89.4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10.375</v>
      </c>
      <c r="J666" s="1">
        <v>0</v>
      </c>
      <c r="K666" s="1">
        <v>0</v>
      </c>
      <c r="L666" s="1">
        <v>0</v>
      </c>
      <c r="M666" s="1">
        <v>0</v>
      </c>
      <c r="N666" s="1">
        <v>0.22500000000000003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3">
        <v>102</v>
      </c>
      <c r="AI666" s="3">
        <v>189.5</v>
      </c>
      <c r="AJ666" s="3">
        <v>2</v>
      </c>
    </row>
    <row r="667" spans="1:56" s="3" customFormat="1" x14ac:dyDescent="0.2">
      <c r="A667" s="3" t="s">
        <v>560</v>
      </c>
      <c r="B667" s="1" t="s">
        <v>629</v>
      </c>
      <c r="C667" s="1">
        <v>88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12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3">
        <v>70</v>
      </c>
      <c r="AI667" s="3">
        <v>150</v>
      </c>
      <c r="AJ667" s="3">
        <v>7.5</v>
      </c>
    </row>
    <row r="668" spans="1:56" s="3" customFormat="1" x14ac:dyDescent="0.2">
      <c r="A668" s="3" t="s">
        <v>561</v>
      </c>
      <c r="B668" s="1" t="s">
        <v>628</v>
      </c>
      <c r="C668" s="1">
        <v>91.5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8.5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3">
        <v>85.8</v>
      </c>
      <c r="AI668" s="3">
        <v>121.2</v>
      </c>
      <c r="AJ668" s="3">
        <v>65.2</v>
      </c>
    </row>
    <row r="669" spans="1:56" s="3" customFormat="1" x14ac:dyDescent="0.2">
      <c r="A669" s="3" t="s">
        <v>562</v>
      </c>
      <c r="B669" s="1" t="s">
        <v>628</v>
      </c>
      <c r="C669" s="1">
        <v>94.5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5.5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3">
        <v>70</v>
      </c>
      <c r="AI669" s="3">
        <v>131.5</v>
      </c>
      <c r="AJ669" s="3">
        <v>52.3</v>
      </c>
    </row>
    <row r="670" spans="1:56" s="3" customFormat="1" x14ac:dyDescent="0.2">
      <c r="A670" s="1" t="s">
        <v>563</v>
      </c>
      <c r="B670" s="1" t="s">
        <v>626</v>
      </c>
      <c r="C670" s="1">
        <v>94.7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1.2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4.0999999999999996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150</v>
      </c>
      <c r="AI670" s="1">
        <v>260</v>
      </c>
      <c r="AJ670" s="1">
        <v>10</v>
      </c>
    </row>
    <row r="671" spans="1:56" s="3" customFormat="1" x14ac:dyDescent="0.2">
      <c r="A671" s="1" t="s">
        <v>564</v>
      </c>
      <c r="B671" s="1" t="s">
        <v>628</v>
      </c>
      <c r="C671" s="1">
        <v>95.35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4.6500000000000004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165</v>
      </c>
      <c r="AI671" s="1">
        <v>210</v>
      </c>
      <c r="AJ671" s="1">
        <v>26</v>
      </c>
    </row>
    <row r="672" spans="1:56" s="3" customFormat="1" x14ac:dyDescent="0.2">
      <c r="A672" s="1" t="s">
        <v>564</v>
      </c>
      <c r="B672" s="1" t="s">
        <v>628</v>
      </c>
      <c r="C672" s="1">
        <v>97.25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2.75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160</v>
      </c>
      <c r="AI672" s="1">
        <v>205</v>
      </c>
      <c r="AJ672" s="1">
        <v>21</v>
      </c>
    </row>
    <row r="673" spans="1:36" s="3" customFormat="1" x14ac:dyDescent="0.2">
      <c r="A673" s="1" t="s">
        <v>564</v>
      </c>
      <c r="B673" s="1" t="s">
        <v>628</v>
      </c>
      <c r="C673" s="1">
        <v>99.25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0.75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145</v>
      </c>
      <c r="AI673" s="1">
        <v>210</v>
      </c>
      <c r="AJ673" s="1">
        <v>12</v>
      </c>
    </row>
    <row r="674" spans="1:36" s="3" customFormat="1" x14ac:dyDescent="0.2">
      <c r="A674" s="1" t="s">
        <v>564</v>
      </c>
      <c r="B674" s="1" t="s">
        <v>626</v>
      </c>
      <c r="C674" s="1">
        <v>99.78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0.22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120</v>
      </c>
      <c r="AI674" s="1">
        <v>190</v>
      </c>
      <c r="AJ674" s="1">
        <v>6</v>
      </c>
    </row>
    <row r="675" spans="1:36" s="3" customFormat="1" x14ac:dyDescent="0.2">
      <c r="A675" s="3" t="s">
        <v>565</v>
      </c>
      <c r="B675" s="1" t="s">
        <v>626</v>
      </c>
      <c r="C675" s="1">
        <v>99.61</v>
      </c>
      <c r="D675" s="1">
        <v>0</v>
      </c>
      <c r="E675" s="1">
        <v>0.39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3">
        <v>91.1</v>
      </c>
      <c r="AI675" s="3">
        <v>240.4</v>
      </c>
      <c r="AJ675" s="3">
        <v>21</v>
      </c>
    </row>
    <row r="676" spans="1:36" s="3" customFormat="1" x14ac:dyDescent="0.2">
      <c r="A676" s="1" t="s">
        <v>566</v>
      </c>
      <c r="B676" s="1" t="s">
        <v>626</v>
      </c>
      <c r="C676" s="1">
        <v>99.8</v>
      </c>
      <c r="D676" s="1">
        <v>0</v>
      </c>
      <c r="E676" s="1">
        <v>0.2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68.599999999999994</v>
      </c>
      <c r="AI676" s="1">
        <v>170</v>
      </c>
      <c r="AJ676" s="1">
        <v>31</v>
      </c>
    </row>
    <row r="677" spans="1:36" s="3" customFormat="1" x14ac:dyDescent="0.2">
      <c r="A677" s="3" t="s">
        <v>567</v>
      </c>
      <c r="B677" s="1" t="s">
        <v>626</v>
      </c>
      <c r="C677" s="1">
        <v>84.5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9</v>
      </c>
      <c r="J677" s="1">
        <v>6.5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3">
        <v>538</v>
      </c>
      <c r="AI677" s="3">
        <v>567</v>
      </c>
      <c r="AJ677" s="3">
        <v>3.2</v>
      </c>
    </row>
    <row r="678" spans="1:36" s="3" customFormat="1" x14ac:dyDescent="0.2">
      <c r="A678" s="3" t="s">
        <v>568</v>
      </c>
      <c r="B678" s="1" t="s">
        <v>626</v>
      </c>
      <c r="C678" s="1">
        <v>100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3">
        <v>158</v>
      </c>
      <c r="AI678" s="3">
        <v>205</v>
      </c>
      <c r="AJ678" s="3">
        <v>3.1</v>
      </c>
    </row>
    <row r="679" spans="1:36" s="1" customFormat="1" x14ac:dyDescent="0.2">
      <c r="A679" s="3" t="s">
        <v>569</v>
      </c>
      <c r="B679" s="1" t="s">
        <v>625</v>
      </c>
      <c r="C679" s="1">
        <v>100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3">
        <v>82.5</v>
      </c>
      <c r="AI679" s="3">
        <v>205</v>
      </c>
      <c r="AJ679" s="3">
        <v>16</v>
      </c>
    </row>
    <row r="680" spans="1:36" s="1" customFormat="1" x14ac:dyDescent="0.2">
      <c r="A680" s="3" t="s">
        <v>570</v>
      </c>
      <c r="B680" s="1" t="s">
        <v>628</v>
      </c>
      <c r="C680" s="1">
        <v>100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3">
        <v>97.5</v>
      </c>
      <c r="AI680" s="3">
        <v>178</v>
      </c>
      <c r="AJ680" s="3">
        <v>9</v>
      </c>
    </row>
    <row r="681" spans="1:36" s="1" customFormat="1" x14ac:dyDescent="0.2">
      <c r="A681" s="3" t="s">
        <v>570</v>
      </c>
      <c r="B681" s="1" t="s">
        <v>626</v>
      </c>
      <c r="C681" s="1">
        <v>100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3">
        <v>87</v>
      </c>
      <c r="AI681" s="3">
        <v>185</v>
      </c>
      <c r="AJ681" s="3">
        <v>6.5</v>
      </c>
    </row>
    <row r="682" spans="1:36" s="1" customFormat="1" x14ac:dyDescent="0.2">
      <c r="A682" s="3" t="s">
        <v>570</v>
      </c>
      <c r="B682" s="1" t="s">
        <v>625</v>
      </c>
      <c r="C682" s="1">
        <v>100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3">
        <v>127.5</v>
      </c>
      <c r="AI682" s="3">
        <v>200</v>
      </c>
      <c r="AJ682" s="3">
        <v>6</v>
      </c>
    </row>
    <row r="683" spans="1:36" s="1" customFormat="1" x14ac:dyDescent="0.2">
      <c r="A683" s="3" t="s">
        <v>570</v>
      </c>
      <c r="B683" s="1" t="s">
        <v>629</v>
      </c>
      <c r="C683" s="1">
        <v>100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3">
        <v>21</v>
      </c>
      <c r="AI683" s="3">
        <v>90</v>
      </c>
      <c r="AJ683" s="3">
        <v>4</v>
      </c>
    </row>
    <row r="684" spans="1:36" s="1" customFormat="1" x14ac:dyDescent="0.2">
      <c r="A684" s="1" t="s">
        <v>302</v>
      </c>
      <c r="B684" s="1" t="s">
        <v>626</v>
      </c>
      <c r="C684" s="1">
        <v>91.85</v>
      </c>
      <c r="D684" s="1">
        <v>0.44</v>
      </c>
      <c r="E684" s="1">
        <v>0.77</v>
      </c>
      <c r="F684" s="1">
        <v>0.55000000000000004</v>
      </c>
      <c r="G684" s="1">
        <v>0.63</v>
      </c>
      <c r="H684" s="1">
        <v>0</v>
      </c>
      <c r="I684" s="1">
        <v>5.59</v>
      </c>
      <c r="J684" s="1">
        <v>0</v>
      </c>
      <c r="K684" s="1">
        <v>0</v>
      </c>
      <c r="L684" s="1">
        <v>0</v>
      </c>
      <c r="M684" s="1">
        <v>0</v>
      </c>
      <c r="N684" s="1">
        <v>0.12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0.05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72</v>
      </c>
      <c r="AI684" s="1">
        <v>154</v>
      </c>
      <c r="AJ684" s="1">
        <v>6.31</v>
      </c>
    </row>
    <row r="685" spans="1:36" s="1" customFormat="1" x14ac:dyDescent="0.2">
      <c r="A685" s="1" t="s">
        <v>302</v>
      </c>
      <c r="B685" s="1" t="s">
        <v>626</v>
      </c>
      <c r="C685" s="1">
        <v>90.3</v>
      </c>
      <c r="D685" s="1">
        <v>0.98999999999999988</v>
      </c>
      <c r="E685" s="1">
        <v>1.68</v>
      </c>
      <c r="F685" s="1">
        <v>1.23</v>
      </c>
      <c r="G685" s="1">
        <v>0.49</v>
      </c>
      <c r="H685" s="1">
        <v>0</v>
      </c>
      <c r="I685" s="1">
        <v>5.07</v>
      </c>
      <c r="J685" s="1">
        <v>0</v>
      </c>
      <c r="K685" s="1">
        <v>0</v>
      </c>
      <c r="L685" s="1">
        <v>0</v>
      </c>
      <c r="M685" s="1">
        <v>0</v>
      </c>
      <c r="N685" s="1">
        <v>0.13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0.11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72</v>
      </c>
      <c r="AI685" s="1">
        <v>160</v>
      </c>
      <c r="AJ685" s="1">
        <v>5.85</v>
      </c>
    </row>
    <row r="686" spans="1:36" s="1" customFormat="1" x14ac:dyDescent="0.2">
      <c r="A686" s="3" t="s">
        <v>571</v>
      </c>
      <c r="B686" s="1" t="s">
        <v>625</v>
      </c>
      <c r="C686" s="1">
        <v>93.436873739999996</v>
      </c>
      <c r="D686" s="1">
        <v>0.80160321000000012</v>
      </c>
      <c r="E686" s="1">
        <v>1.65330661</v>
      </c>
      <c r="F686" s="1">
        <v>0.80160321000000012</v>
      </c>
      <c r="G686" s="1">
        <v>2.55511022</v>
      </c>
      <c r="H686" s="1">
        <v>0</v>
      </c>
      <c r="I686" s="1">
        <v>0</v>
      </c>
      <c r="J686" s="1">
        <v>0</v>
      </c>
      <c r="K686" s="1">
        <v>0.75150300999999997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3">
        <v>80</v>
      </c>
      <c r="AI686" s="3">
        <v>94.75</v>
      </c>
      <c r="AJ686" s="3">
        <v>1.62</v>
      </c>
    </row>
    <row r="687" spans="1:36" s="1" customFormat="1" x14ac:dyDescent="0.2">
      <c r="A687" s="3" t="s">
        <v>572</v>
      </c>
      <c r="B687" s="1" t="s">
        <v>627</v>
      </c>
      <c r="C687" s="1">
        <v>92.951318459999996</v>
      </c>
      <c r="D687" s="1">
        <v>2.2819472599999999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0.70993914999999996</v>
      </c>
      <c r="L687" s="1">
        <v>0</v>
      </c>
      <c r="M687" s="1">
        <v>0</v>
      </c>
      <c r="N687" s="1">
        <v>0</v>
      </c>
      <c r="O687" s="1">
        <v>4.0567951300000002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3">
        <v>190</v>
      </c>
      <c r="AI687" s="3">
        <v>252.5</v>
      </c>
      <c r="AJ687" s="3">
        <v>7</v>
      </c>
    </row>
    <row r="688" spans="1:36" s="1" customFormat="1" x14ac:dyDescent="0.2">
      <c r="A688" s="3" t="s">
        <v>573</v>
      </c>
      <c r="B688" s="1" t="s">
        <v>625</v>
      </c>
      <c r="C688" s="1">
        <v>92.951318459999996</v>
      </c>
      <c r="D688" s="1">
        <v>2.2819472599999999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0.70993914999999996</v>
      </c>
      <c r="L688" s="1">
        <v>0</v>
      </c>
      <c r="M688" s="1">
        <v>0</v>
      </c>
      <c r="N688" s="1">
        <v>0</v>
      </c>
      <c r="O688" s="1">
        <v>4.0567951300000002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3">
        <v>195</v>
      </c>
      <c r="AI688" s="3">
        <v>260</v>
      </c>
      <c r="AJ688" s="3">
        <v>11</v>
      </c>
    </row>
    <row r="689" spans="1:36" s="1" customFormat="1" x14ac:dyDescent="0.2">
      <c r="A689" s="3" t="s">
        <v>574</v>
      </c>
      <c r="B689" s="1" t="s">
        <v>625</v>
      </c>
      <c r="C689" s="1">
        <v>94.747373679999995</v>
      </c>
      <c r="D689" s="1">
        <v>2.85142571</v>
      </c>
      <c r="E689" s="1">
        <v>0</v>
      </c>
      <c r="F689" s="1">
        <v>0</v>
      </c>
      <c r="G689" s="1">
        <v>0.35017509000000002</v>
      </c>
      <c r="H689" s="1">
        <v>0</v>
      </c>
      <c r="I689" s="1">
        <v>0</v>
      </c>
      <c r="J689" s="1">
        <v>0</v>
      </c>
      <c r="K689" s="1">
        <v>0.70035018000000004</v>
      </c>
      <c r="L689" s="1">
        <v>0</v>
      </c>
      <c r="M689" s="1">
        <v>0</v>
      </c>
      <c r="N689" s="1">
        <v>0</v>
      </c>
      <c r="O689" s="1">
        <v>0</v>
      </c>
      <c r="P689" s="1">
        <v>1.35067534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3">
        <v>161.5</v>
      </c>
      <c r="AI689" s="3">
        <v>278</v>
      </c>
      <c r="AJ689" s="3">
        <v>4</v>
      </c>
    </row>
    <row r="690" spans="1:36" s="1" customFormat="1" x14ac:dyDescent="0.2">
      <c r="A690" s="3" t="s">
        <v>575</v>
      </c>
      <c r="B690" s="1" t="s">
        <v>625</v>
      </c>
      <c r="C690" s="1">
        <v>82.1</v>
      </c>
      <c r="D690" s="1">
        <v>0</v>
      </c>
      <c r="E690" s="1">
        <v>0</v>
      </c>
      <c r="F690" s="1">
        <v>0</v>
      </c>
      <c r="G690" s="1">
        <v>2.2999999999999998</v>
      </c>
      <c r="H690" s="1">
        <v>0</v>
      </c>
      <c r="I690" s="1">
        <v>0</v>
      </c>
      <c r="J690" s="1">
        <v>0</v>
      </c>
      <c r="K690" s="1">
        <v>0.7</v>
      </c>
      <c r="L690" s="1">
        <v>0</v>
      </c>
      <c r="M690" s="1">
        <v>0</v>
      </c>
      <c r="N690" s="1">
        <v>0</v>
      </c>
      <c r="O690" s="1">
        <v>3.8</v>
      </c>
      <c r="P690" s="1">
        <v>11.1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3">
        <v>260</v>
      </c>
      <c r="AI690" s="3">
        <v>310</v>
      </c>
      <c r="AJ690" s="3">
        <v>12</v>
      </c>
    </row>
    <row r="691" spans="1:36" s="1" customFormat="1" x14ac:dyDescent="0.2">
      <c r="A691" s="3" t="s">
        <v>576</v>
      </c>
      <c r="B691" s="1" t="s">
        <v>625</v>
      </c>
      <c r="C691" s="1">
        <v>82.62</v>
      </c>
      <c r="D691" s="1">
        <v>0</v>
      </c>
      <c r="E691" s="1">
        <v>0</v>
      </c>
      <c r="F691" s="1">
        <v>0</v>
      </c>
      <c r="G691" s="1">
        <v>1.69</v>
      </c>
      <c r="H691" s="1">
        <v>0</v>
      </c>
      <c r="I691" s="1">
        <v>0</v>
      </c>
      <c r="J691" s="1">
        <v>0</v>
      </c>
      <c r="K691" s="1">
        <v>0.49</v>
      </c>
      <c r="L691" s="1">
        <v>0</v>
      </c>
      <c r="M691" s="1">
        <v>0</v>
      </c>
      <c r="N691" s="1">
        <v>0</v>
      </c>
      <c r="O691" s="1">
        <v>4.0999999999999996</v>
      </c>
      <c r="P691" s="1">
        <v>11.1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3">
        <v>231</v>
      </c>
      <c r="AI691" s="3">
        <v>361</v>
      </c>
      <c r="AJ691" s="3">
        <v>4</v>
      </c>
    </row>
    <row r="692" spans="1:36" s="1" customFormat="1" x14ac:dyDescent="0.2">
      <c r="A692" s="3" t="s">
        <v>577</v>
      </c>
      <c r="B692" s="1" t="s">
        <v>626</v>
      </c>
      <c r="C692" s="1">
        <v>94.35</v>
      </c>
      <c r="D692" s="1">
        <v>0</v>
      </c>
      <c r="E692" s="1">
        <v>0</v>
      </c>
      <c r="F692" s="1">
        <v>0</v>
      </c>
      <c r="G692" s="1">
        <v>5</v>
      </c>
      <c r="H692" s="1">
        <v>0</v>
      </c>
      <c r="I692" s="1">
        <v>0</v>
      </c>
      <c r="J692" s="1">
        <v>0.25</v>
      </c>
      <c r="K692" s="1">
        <v>0.3</v>
      </c>
      <c r="L692" s="1">
        <v>0</v>
      </c>
      <c r="M692" s="1">
        <v>0</v>
      </c>
      <c r="N692" s="1">
        <v>0.1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3">
        <v>330</v>
      </c>
      <c r="AI692" s="3">
        <v>365</v>
      </c>
      <c r="AJ692" s="3">
        <v>19.5</v>
      </c>
    </row>
    <row r="693" spans="1:36" s="1" customFormat="1" x14ac:dyDescent="0.2">
      <c r="A693" s="3" t="s">
        <v>578</v>
      </c>
      <c r="B693" s="1" t="s">
        <v>626</v>
      </c>
      <c r="C693" s="1">
        <v>94.35</v>
      </c>
      <c r="D693" s="1">
        <v>0</v>
      </c>
      <c r="E693" s="1">
        <v>0</v>
      </c>
      <c r="F693" s="1">
        <v>0</v>
      </c>
      <c r="G693" s="1">
        <v>5</v>
      </c>
      <c r="H693" s="1">
        <v>0</v>
      </c>
      <c r="I693" s="1">
        <v>0</v>
      </c>
      <c r="J693" s="1">
        <v>0.25</v>
      </c>
      <c r="K693" s="1">
        <v>0.3</v>
      </c>
      <c r="L693" s="1">
        <v>0</v>
      </c>
      <c r="M693" s="1">
        <v>0</v>
      </c>
      <c r="N693" s="1">
        <v>0.1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3">
        <v>260</v>
      </c>
      <c r="AI693" s="3">
        <v>320</v>
      </c>
      <c r="AJ693" s="3">
        <v>24</v>
      </c>
    </row>
    <row r="694" spans="1:36" s="1" customFormat="1" x14ac:dyDescent="0.2">
      <c r="A694" s="3" t="s">
        <v>579</v>
      </c>
      <c r="B694" s="1" t="s">
        <v>626</v>
      </c>
      <c r="C694" s="1">
        <v>94.35</v>
      </c>
      <c r="D694" s="1">
        <v>0</v>
      </c>
      <c r="E694" s="1">
        <v>0</v>
      </c>
      <c r="F694" s="1">
        <v>0</v>
      </c>
      <c r="G694" s="1">
        <v>5</v>
      </c>
      <c r="H694" s="1">
        <v>0</v>
      </c>
      <c r="I694" s="1">
        <v>0</v>
      </c>
      <c r="J694" s="1">
        <v>0.25</v>
      </c>
      <c r="K694" s="1">
        <v>0.3</v>
      </c>
      <c r="L694" s="1">
        <v>0</v>
      </c>
      <c r="M694" s="1">
        <v>0</v>
      </c>
      <c r="N694" s="1">
        <v>0.1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3">
        <v>305</v>
      </c>
      <c r="AI694" s="3">
        <v>330</v>
      </c>
      <c r="AJ694" s="3">
        <v>23</v>
      </c>
    </row>
    <row r="695" spans="1:36" s="1" customFormat="1" x14ac:dyDescent="0.2">
      <c r="A695" s="3" t="s">
        <v>580</v>
      </c>
      <c r="B695" s="1" t="s">
        <v>626</v>
      </c>
      <c r="C695" s="1">
        <v>94.35</v>
      </c>
      <c r="D695" s="1">
        <v>0</v>
      </c>
      <c r="E695" s="1">
        <v>0</v>
      </c>
      <c r="F695" s="1">
        <v>0</v>
      </c>
      <c r="G695" s="1">
        <v>5</v>
      </c>
      <c r="H695" s="1">
        <v>0</v>
      </c>
      <c r="I695" s="1">
        <v>0</v>
      </c>
      <c r="J695" s="1">
        <v>0.25</v>
      </c>
      <c r="K695" s="1">
        <v>0.3</v>
      </c>
      <c r="L695" s="1">
        <v>0</v>
      </c>
      <c r="M695" s="1">
        <v>0</v>
      </c>
      <c r="N695" s="1">
        <v>0.1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3">
        <v>305</v>
      </c>
      <c r="AI695" s="3">
        <v>345</v>
      </c>
      <c r="AJ695" s="3">
        <v>19.5</v>
      </c>
    </row>
    <row r="696" spans="1:36" s="1" customFormat="1" x14ac:dyDescent="0.2">
      <c r="A696" s="3" t="s">
        <v>581</v>
      </c>
      <c r="B696" s="1" t="s">
        <v>626</v>
      </c>
      <c r="C696" s="1">
        <v>94.35</v>
      </c>
      <c r="D696" s="1">
        <v>0</v>
      </c>
      <c r="E696" s="1">
        <v>0</v>
      </c>
      <c r="F696" s="1">
        <v>0</v>
      </c>
      <c r="G696" s="1">
        <v>5</v>
      </c>
      <c r="H696" s="1">
        <v>0</v>
      </c>
      <c r="I696" s="1">
        <v>0</v>
      </c>
      <c r="J696" s="1">
        <v>0.25</v>
      </c>
      <c r="K696" s="1">
        <v>0.3</v>
      </c>
      <c r="L696" s="1">
        <v>0</v>
      </c>
      <c r="M696" s="1">
        <v>0</v>
      </c>
      <c r="N696" s="1">
        <v>0.1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3">
        <v>210</v>
      </c>
      <c r="AI696" s="3">
        <v>295</v>
      </c>
      <c r="AJ696" s="3">
        <v>26</v>
      </c>
    </row>
    <row r="697" spans="1:36" s="1" customFormat="1" x14ac:dyDescent="0.2">
      <c r="A697" s="3" t="s">
        <v>582</v>
      </c>
      <c r="B697" s="1" t="s">
        <v>626</v>
      </c>
      <c r="C697" s="1">
        <v>94.35</v>
      </c>
      <c r="D697" s="1">
        <v>0</v>
      </c>
      <c r="E697" s="1">
        <v>0</v>
      </c>
      <c r="F697" s="1">
        <v>0</v>
      </c>
      <c r="G697" s="1">
        <v>5</v>
      </c>
      <c r="H697" s="1">
        <v>0</v>
      </c>
      <c r="I697" s="1">
        <v>0</v>
      </c>
      <c r="J697" s="1">
        <v>0.25</v>
      </c>
      <c r="K697" s="1">
        <v>0.3</v>
      </c>
      <c r="L697" s="1">
        <v>0</v>
      </c>
      <c r="M697" s="1">
        <v>0</v>
      </c>
      <c r="N697" s="1">
        <v>0.1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3">
        <v>250</v>
      </c>
      <c r="AI697" s="3">
        <v>305</v>
      </c>
      <c r="AJ697" s="3">
        <v>25.5</v>
      </c>
    </row>
    <row r="698" spans="1:36" s="1" customFormat="1" x14ac:dyDescent="0.2">
      <c r="A698" s="3" t="s">
        <v>583</v>
      </c>
      <c r="B698" s="1" t="s">
        <v>626</v>
      </c>
      <c r="C698" s="1">
        <v>94.35</v>
      </c>
      <c r="D698" s="1">
        <v>0</v>
      </c>
      <c r="E698" s="1">
        <v>0</v>
      </c>
      <c r="F698" s="1">
        <v>0</v>
      </c>
      <c r="G698" s="1">
        <v>5</v>
      </c>
      <c r="H698" s="1">
        <v>0</v>
      </c>
      <c r="I698" s="1">
        <v>0</v>
      </c>
      <c r="J698" s="1">
        <v>0.25</v>
      </c>
      <c r="K698" s="1">
        <v>0.3</v>
      </c>
      <c r="L698" s="1">
        <v>0</v>
      </c>
      <c r="M698" s="1">
        <v>0</v>
      </c>
      <c r="N698" s="1">
        <v>0.1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3">
        <v>260</v>
      </c>
      <c r="AI698" s="3">
        <v>310</v>
      </c>
      <c r="AJ698" s="3">
        <v>24</v>
      </c>
    </row>
    <row r="699" spans="1:36" s="1" customFormat="1" x14ac:dyDescent="0.2">
      <c r="A699" s="3" t="s">
        <v>584</v>
      </c>
      <c r="B699" s="1" t="s">
        <v>627</v>
      </c>
      <c r="C699" s="1">
        <v>85.6</v>
      </c>
      <c r="D699" s="1">
        <v>0</v>
      </c>
      <c r="E699" s="1">
        <v>0</v>
      </c>
      <c r="F699" s="1">
        <v>0</v>
      </c>
      <c r="G699" s="1">
        <v>12.1</v>
      </c>
      <c r="H699" s="1">
        <v>0</v>
      </c>
      <c r="I699" s="1">
        <v>2.09</v>
      </c>
      <c r="J699" s="1">
        <v>0</v>
      </c>
      <c r="K699" s="1">
        <v>0</v>
      </c>
      <c r="L699" s="1">
        <v>0</v>
      </c>
      <c r="M699" s="1">
        <v>0</v>
      </c>
      <c r="N699" s="1">
        <v>0.21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3">
        <v>105</v>
      </c>
      <c r="AI699" s="3">
        <v>145</v>
      </c>
      <c r="AJ699" s="3">
        <v>1.3</v>
      </c>
    </row>
    <row r="700" spans="1:36" s="1" customFormat="1" x14ac:dyDescent="0.2">
      <c r="A700" s="3" t="s">
        <v>585</v>
      </c>
      <c r="B700" s="1" t="s">
        <v>626</v>
      </c>
      <c r="C700" s="1">
        <v>84.85</v>
      </c>
      <c r="D700" s="1">
        <v>0</v>
      </c>
      <c r="E700" s="1">
        <v>0</v>
      </c>
      <c r="F700" s="1">
        <v>0</v>
      </c>
      <c r="G700" s="1">
        <v>6.24</v>
      </c>
      <c r="H700" s="1">
        <v>8.06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0.85000000000000009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3">
        <v>255</v>
      </c>
      <c r="AI700" s="3">
        <v>325</v>
      </c>
      <c r="AJ700" s="3">
        <v>8</v>
      </c>
    </row>
    <row r="701" spans="1:36" s="1" customFormat="1" x14ac:dyDescent="0.2">
      <c r="A701" s="1" t="s">
        <v>586</v>
      </c>
      <c r="B701" s="1" t="s">
        <v>626</v>
      </c>
      <c r="C701" s="1">
        <v>93.27</v>
      </c>
      <c r="D701" s="1">
        <v>0</v>
      </c>
      <c r="E701" s="1">
        <v>0</v>
      </c>
      <c r="F701" s="1">
        <v>0</v>
      </c>
      <c r="G701" s="1">
        <v>5.77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0.96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209</v>
      </c>
      <c r="AI701" s="1">
        <v>305</v>
      </c>
      <c r="AJ701" s="1">
        <v>11.55</v>
      </c>
    </row>
    <row r="702" spans="1:36" s="1" customFormat="1" x14ac:dyDescent="0.2">
      <c r="A702" s="1" t="s">
        <v>586</v>
      </c>
      <c r="B702" s="1" t="s">
        <v>625</v>
      </c>
      <c r="C702" s="1">
        <v>93.27</v>
      </c>
      <c r="D702" s="1">
        <v>0</v>
      </c>
      <c r="E702" s="1">
        <v>0</v>
      </c>
      <c r="F702" s="1">
        <v>0</v>
      </c>
      <c r="G702" s="1">
        <v>5.77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0.96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314</v>
      </c>
      <c r="AI702" s="1">
        <v>352</v>
      </c>
      <c r="AJ702" s="1">
        <v>7.98</v>
      </c>
    </row>
    <row r="703" spans="1:36" s="1" customFormat="1" x14ac:dyDescent="0.2">
      <c r="A703" s="1" t="s">
        <v>374</v>
      </c>
      <c r="B703" s="1" t="s">
        <v>626</v>
      </c>
      <c r="C703" s="1">
        <v>84.86</v>
      </c>
      <c r="D703" s="1">
        <v>5.43</v>
      </c>
      <c r="E703" s="1">
        <v>0</v>
      </c>
      <c r="F703" s="1">
        <v>0</v>
      </c>
      <c r="G703" s="1">
        <v>4.75</v>
      </c>
      <c r="H703" s="1">
        <v>0</v>
      </c>
      <c r="I703" s="1">
        <v>4.96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340</v>
      </c>
      <c r="AI703" s="1">
        <v>440</v>
      </c>
      <c r="AJ703" s="1">
        <v>4</v>
      </c>
    </row>
    <row r="704" spans="1:36" s="1" customFormat="1" x14ac:dyDescent="0.2">
      <c r="A704" s="1" t="s">
        <v>374</v>
      </c>
      <c r="B704" s="1" t="s">
        <v>626</v>
      </c>
      <c r="C704" s="1">
        <v>85.27</v>
      </c>
      <c r="D704" s="1">
        <v>6.05</v>
      </c>
      <c r="E704" s="1">
        <v>0</v>
      </c>
      <c r="F704" s="1">
        <v>0</v>
      </c>
      <c r="G704" s="1">
        <v>2.96</v>
      </c>
      <c r="H704" s="1">
        <v>0</v>
      </c>
      <c r="I704" s="1">
        <v>5.72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400</v>
      </c>
      <c r="AI704" s="1">
        <v>450</v>
      </c>
      <c r="AJ704" s="1">
        <v>4.5</v>
      </c>
    </row>
    <row r="705" spans="1:36" s="1" customFormat="1" x14ac:dyDescent="0.2">
      <c r="A705" s="3" t="s">
        <v>587</v>
      </c>
      <c r="B705" s="1" t="s">
        <v>625</v>
      </c>
      <c r="C705" s="1">
        <v>88.35</v>
      </c>
      <c r="D705" s="1">
        <v>0</v>
      </c>
      <c r="E705" s="1">
        <v>0</v>
      </c>
      <c r="F705" s="1">
        <v>0</v>
      </c>
      <c r="G705" s="1">
        <v>2</v>
      </c>
      <c r="H705" s="1">
        <v>0</v>
      </c>
      <c r="I705" s="1">
        <v>9.4250000000000007</v>
      </c>
      <c r="J705" s="1">
        <v>0</v>
      </c>
      <c r="K705" s="1">
        <v>0</v>
      </c>
      <c r="L705" s="1">
        <v>0</v>
      </c>
      <c r="M705" s="1">
        <v>0</v>
      </c>
      <c r="N705" s="1">
        <v>0.22500000000000003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3">
        <v>92</v>
      </c>
      <c r="AI705" s="3">
        <v>170</v>
      </c>
      <c r="AJ705" s="3">
        <v>2.8</v>
      </c>
    </row>
    <row r="706" spans="1:36" s="1" customFormat="1" x14ac:dyDescent="0.2">
      <c r="A706" s="3" t="s">
        <v>588</v>
      </c>
      <c r="B706" s="1" t="s">
        <v>627</v>
      </c>
      <c r="C706" s="1">
        <v>88.35</v>
      </c>
      <c r="D706" s="1">
        <v>0</v>
      </c>
      <c r="E706" s="1">
        <v>0</v>
      </c>
      <c r="F706" s="1">
        <v>0</v>
      </c>
      <c r="G706" s="1">
        <v>2</v>
      </c>
      <c r="H706" s="1">
        <v>0</v>
      </c>
      <c r="I706" s="1">
        <v>9.4250000000000007</v>
      </c>
      <c r="J706" s="1">
        <v>0</v>
      </c>
      <c r="K706" s="1">
        <v>0</v>
      </c>
      <c r="L706" s="1">
        <v>0</v>
      </c>
      <c r="M706" s="1">
        <v>0</v>
      </c>
      <c r="N706" s="1">
        <v>0.22500000000000003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3">
        <v>83</v>
      </c>
      <c r="AI706" s="3">
        <v>170</v>
      </c>
      <c r="AJ706" s="3">
        <v>3.8</v>
      </c>
    </row>
    <row r="707" spans="1:36" s="1" customFormat="1" x14ac:dyDescent="0.2">
      <c r="A707" s="3" t="s">
        <v>589</v>
      </c>
      <c r="B707" s="1" t="s">
        <v>625</v>
      </c>
      <c r="C707" s="1">
        <v>88.35</v>
      </c>
      <c r="D707" s="1">
        <v>0</v>
      </c>
      <c r="E707" s="1">
        <v>0</v>
      </c>
      <c r="F707" s="1">
        <v>0</v>
      </c>
      <c r="G707" s="1">
        <v>2</v>
      </c>
      <c r="H707" s="1">
        <v>0</v>
      </c>
      <c r="I707" s="1">
        <v>9.4250000000000007</v>
      </c>
      <c r="J707" s="1">
        <v>0</v>
      </c>
      <c r="K707" s="1">
        <v>0</v>
      </c>
      <c r="L707" s="1">
        <v>0</v>
      </c>
      <c r="M707" s="1">
        <v>0</v>
      </c>
      <c r="N707" s="1">
        <v>0.22500000000000003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3">
        <v>140</v>
      </c>
      <c r="AI707" s="3">
        <v>270</v>
      </c>
      <c r="AJ707" s="3">
        <v>2.1</v>
      </c>
    </row>
    <row r="708" spans="1:36" s="1" customFormat="1" x14ac:dyDescent="0.2">
      <c r="A708" s="3" t="s">
        <v>590</v>
      </c>
      <c r="B708" s="1" t="s">
        <v>625</v>
      </c>
      <c r="C708" s="1">
        <v>88.35</v>
      </c>
      <c r="D708" s="1">
        <v>0</v>
      </c>
      <c r="E708" s="1">
        <v>0</v>
      </c>
      <c r="F708" s="1">
        <v>0</v>
      </c>
      <c r="G708" s="1">
        <v>2</v>
      </c>
      <c r="H708" s="1">
        <v>0</v>
      </c>
      <c r="I708" s="1">
        <v>9.4250000000000007</v>
      </c>
      <c r="J708" s="1">
        <v>0</v>
      </c>
      <c r="K708" s="1">
        <v>0</v>
      </c>
      <c r="L708" s="1">
        <v>0</v>
      </c>
      <c r="M708" s="1">
        <v>0</v>
      </c>
      <c r="N708" s="1">
        <v>0.22500000000000003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3">
        <v>83</v>
      </c>
      <c r="AI708" s="3">
        <v>270</v>
      </c>
      <c r="AJ708" s="3">
        <v>6.8</v>
      </c>
    </row>
    <row r="709" spans="1:36" s="1" customFormat="1" x14ac:dyDescent="0.2">
      <c r="A709" s="3" t="s">
        <v>591</v>
      </c>
      <c r="B709" s="1" t="s">
        <v>626</v>
      </c>
      <c r="C709" s="1">
        <v>96.8</v>
      </c>
      <c r="D709" s="1">
        <v>0</v>
      </c>
      <c r="E709" s="1">
        <v>0</v>
      </c>
      <c r="F709" s="1">
        <v>0</v>
      </c>
      <c r="G709" s="1">
        <v>1</v>
      </c>
      <c r="H709" s="1">
        <v>2.1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0.1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3">
        <v>260</v>
      </c>
      <c r="AI709" s="3">
        <v>320</v>
      </c>
      <c r="AJ709" s="3">
        <v>12</v>
      </c>
    </row>
    <row r="710" spans="1:36" s="1" customFormat="1" x14ac:dyDescent="0.2">
      <c r="A710" s="3" t="s">
        <v>592</v>
      </c>
      <c r="B710" s="1" t="s">
        <v>629</v>
      </c>
      <c r="C710" s="1">
        <v>95.3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3.1</v>
      </c>
      <c r="J710" s="1">
        <v>0</v>
      </c>
      <c r="K710" s="1">
        <v>0</v>
      </c>
      <c r="L710" s="1">
        <v>0</v>
      </c>
      <c r="M710" s="1">
        <v>0</v>
      </c>
      <c r="N710" s="1">
        <v>0.6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3">
        <v>155</v>
      </c>
      <c r="AI710" s="3">
        <v>240</v>
      </c>
      <c r="AJ710" s="3">
        <v>10</v>
      </c>
    </row>
    <row r="711" spans="1:36" s="1" customFormat="1" x14ac:dyDescent="0.2">
      <c r="A711" s="6" t="s">
        <v>593</v>
      </c>
      <c r="B711" s="1" t="s">
        <v>627</v>
      </c>
      <c r="C711" s="1">
        <f>((100-(D711+E711+F711+G711))/100)*100</f>
        <v>96.38</v>
      </c>
      <c r="D711" s="1">
        <v>1.7500000000000002</v>
      </c>
      <c r="E711" s="1">
        <v>0.6</v>
      </c>
      <c r="F711" s="1">
        <v>0.45000000000000007</v>
      </c>
      <c r="G711" s="1">
        <v>0.81999999999999984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7">
        <v>146.4</v>
      </c>
      <c r="AI711" s="7">
        <v>174.1</v>
      </c>
      <c r="AJ711" s="7">
        <v>3.8</v>
      </c>
    </row>
    <row r="712" spans="1:36" s="1" customFormat="1" x14ac:dyDescent="0.2">
      <c r="A712" s="3" t="s">
        <v>111</v>
      </c>
      <c r="B712" s="1" t="s">
        <v>626</v>
      </c>
      <c r="C712" s="1">
        <v>90.066999999999993</v>
      </c>
      <c r="D712" s="1">
        <v>0</v>
      </c>
      <c r="E712" s="1">
        <v>0</v>
      </c>
      <c r="F712" s="1">
        <v>0</v>
      </c>
      <c r="G712" s="1">
        <v>0.8</v>
      </c>
      <c r="H712" s="1">
        <v>0</v>
      </c>
      <c r="I712" s="1">
        <v>9</v>
      </c>
      <c r="J712" s="1">
        <v>0</v>
      </c>
      <c r="K712" s="1">
        <v>0</v>
      </c>
      <c r="L712" s="1">
        <v>0</v>
      </c>
      <c r="M712" s="1">
        <v>0</v>
      </c>
      <c r="N712" s="1">
        <v>0.13</v>
      </c>
      <c r="O712" s="1">
        <v>0</v>
      </c>
      <c r="P712" s="1">
        <v>0</v>
      </c>
      <c r="Q712" s="1">
        <v>3.0000000000000001E-3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3">
        <v>307</v>
      </c>
      <c r="AI712" s="3">
        <v>327</v>
      </c>
      <c r="AJ712" s="3">
        <v>4.5</v>
      </c>
    </row>
    <row r="713" spans="1:36" s="1" customFormat="1" x14ac:dyDescent="0.2">
      <c r="A713" s="3" t="s">
        <v>594</v>
      </c>
      <c r="B713" s="1" t="s">
        <v>626</v>
      </c>
      <c r="C713" s="1">
        <v>90.066999999999993</v>
      </c>
      <c r="D713" s="1">
        <v>0</v>
      </c>
      <c r="E713" s="1">
        <v>0</v>
      </c>
      <c r="F713" s="1">
        <v>0</v>
      </c>
      <c r="G713" s="1">
        <v>0.8</v>
      </c>
      <c r="H713" s="1">
        <v>0</v>
      </c>
      <c r="I713" s="1">
        <v>9</v>
      </c>
      <c r="J713" s="1">
        <v>0</v>
      </c>
      <c r="K713" s="1">
        <v>0</v>
      </c>
      <c r="L713" s="1">
        <v>0</v>
      </c>
      <c r="M713" s="1">
        <v>0</v>
      </c>
      <c r="N713" s="1">
        <v>0.13</v>
      </c>
      <c r="O713" s="1">
        <v>0</v>
      </c>
      <c r="P713" s="1">
        <v>0</v>
      </c>
      <c r="Q713" s="1">
        <v>3.0000000000000001E-3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3">
        <v>296</v>
      </c>
      <c r="AI713" s="3">
        <v>307</v>
      </c>
      <c r="AJ713" s="3">
        <v>13.7</v>
      </c>
    </row>
    <row r="714" spans="1:36" s="1" customFormat="1" x14ac:dyDescent="0.2">
      <c r="A714" s="6" t="s">
        <v>595</v>
      </c>
      <c r="B714" s="1" t="s">
        <v>627</v>
      </c>
      <c r="C714" s="1">
        <f>((100-(D714+E714+F714+G714))/100)*100</f>
        <v>96.46</v>
      </c>
      <c r="D714" s="1">
        <v>1.35</v>
      </c>
      <c r="E714" s="1">
        <v>0.52</v>
      </c>
      <c r="F714" s="1">
        <v>0.98999999999999988</v>
      </c>
      <c r="G714" s="1">
        <v>0.68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3">
        <v>136.11064999999999</v>
      </c>
      <c r="AI714" s="3">
        <v>172.4316</v>
      </c>
      <c r="AJ714" s="3">
        <v>3.2912187500000001</v>
      </c>
    </row>
    <row r="715" spans="1:36" s="1" customFormat="1" x14ac:dyDescent="0.2">
      <c r="A715" s="3" t="s">
        <v>596</v>
      </c>
      <c r="B715" s="1" t="s">
        <v>627</v>
      </c>
      <c r="C715" s="1">
        <v>91.1</v>
      </c>
      <c r="D715" s="1">
        <v>0</v>
      </c>
      <c r="E715" s="1">
        <v>0</v>
      </c>
      <c r="F715" s="1">
        <v>0</v>
      </c>
      <c r="G715" s="1">
        <v>0.67500000000000004</v>
      </c>
      <c r="H715" s="1">
        <v>0</v>
      </c>
      <c r="I715" s="1">
        <v>8</v>
      </c>
      <c r="J715" s="1">
        <v>0</v>
      </c>
      <c r="K715" s="1">
        <v>0</v>
      </c>
      <c r="L715" s="1">
        <v>0</v>
      </c>
      <c r="M715" s="1">
        <v>0</v>
      </c>
      <c r="N715" s="1">
        <v>0.22500000000000003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3">
        <v>120</v>
      </c>
      <c r="AI715" s="3">
        <v>200</v>
      </c>
      <c r="AJ715" s="3">
        <v>2.8</v>
      </c>
    </row>
    <row r="716" spans="1:36" s="1" customFormat="1" x14ac:dyDescent="0.2">
      <c r="A716" s="3" t="s">
        <v>597</v>
      </c>
      <c r="B716" s="1" t="s">
        <v>625</v>
      </c>
      <c r="C716" s="1">
        <v>91.1</v>
      </c>
      <c r="D716" s="1">
        <v>0</v>
      </c>
      <c r="E716" s="1">
        <v>0</v>
      </c>
      <c r="F716" s="1">
        <v>0</v>
      </c>
      <c r="G716" s="1">
        <v>0.67500000000000004</v>
      </c>
      <c r="H716" s="1">
        <v>0</v>
      </c>
      <c r="I716" s="1">
        <v>8</v>
      </c>
      <c r="J716" s="1">
        <v>0</v>
      </c>
      <c r="K716" s="1">
        <v>0</v>
      </c>
      <c r="L716" s="1">
        <v>0</v>
      </c>
      <c r="M716" s="1">
        <v>0</v>
      </c>
      <c r="N716" s="1">
        <v>0.22500000000000003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3">
        <v>100</v>
      </c>
      <c r="AI716" s="3">
        <v>270</v>
      </c>
      <c r="AJ716" s="3">
        <v>6.7</v>
      </c>
    </row>
    <row r="717" spans="1:36" s="1" customFormat="1" x14ac:dyDescent="0.2">
      <c r="A717" s="6" t="s">
        <v>598</v>
      </c>
      <c r="B717" s="1" t="s">
        <v>627</v>
      </c>
      <c r="C717" s="1">
        <f>((100-(D717+E717+F717+G717))/100)*100</f>
        <v>96.03</v>
      </c>
      <c r="D717" s="1">
        <v>1.32</v>
      </c>
      <c r="E717" s="1">
        <v>0.52</v>
      </c>
      <c r="F717" s="1">
        <v>1.46</v>
      </c>
      <c r="G717" s="1">
        <v>0.67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3">
        <v>150.9723875</v>
      </c>
      <c r="AI717" s="3">
        <v>169.85184999999998</v>
      </c>
      <c r="AJ717" s="3">
        <v>1.4591997499999998</v>
      </c>
    </row>
    <row r="718" spans="1:36" s="1" customFormat="1" x14ac:dyDescent="0.2">
      <c r="A718" s="6" t="s">
        <v>599</v>
      </c>
      <c r="B718" s="1" t="s">
        <v>627</v>
      </c>
      <c r="C718" s="1">
        <f>((100-(D718+E718+F718+G718))/100)*100</f>
        <v>96.94</v>
      </c>
      <c r="D718" s="1">
        <v>1.38</v>
      </c>
      <c r="E718" s="1">
        <v>0.6</v>
      </c>
      <c r="F718" s="1">
        <v>0.46999999999999992</v>
      </c>
      <c r="G718" s="1">
        <v>0.61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7">
        <v>130.80000000000001</v>
      </c>
      <c r="AI718" s="7">
        <v>149.4</v>
      </c>
      <c r="AJ718" s="7">
        <v>2</v>
      </c>
    </row>
    <row r="719" spans="1:36" s="1" customFormat="1" x14ac:dyDescent="0.2">
      <c r="A719" s="6" t="s">
        <v>600</v>
      </c>
      <c r="B719" s="1" t="s">
        <v>627</v>
      </c>
      <c r="C719" s="1">
        <f>((100-(D719+E719+F719+G719))/100)*100</f>
        <v>96.55</v>
      </c>
      <c r="D719" s="1">
        <v>1.7000000000000002</v>
      </c>
      <c r="E719" s="1">
        <v>0.66</v>
      </c>
      <c r="F719" s="1">
        <v>0.49</v>
      </c>
      <c r="G719" s="1">
        <v>0.6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7">
        <v>143.80000000000001</v>
      </c>
      <c r="AI719" s="7">
        <v>166.3</v>
      </c>
      <c r="AJ719" s="7">
        <v>3</v>
      </c>
    </row>
    <row r="720" spans="1:36" s="1" customFormat="1" x14ac:dyDescent="0.2">
      <c r="A720" s="6" t="s">
        <v>601</v>
      </c>
      <c r="B720" s="1" t="s">
        <v>627</v>
      </c>
      <c r="C720" s="1">
        <f>((100-(D720+E720+F720+G720))/100)*100</f>
        <v>97.07</v>
      </c>
      <c r="D720" s="1">
        <v>1.45</v>
      </c>
      <c r="E720" s="1">
        <v>0.56000000000000005</v>
      </c>
      <c r="F720" s="1">
        <v>0.32</v>
      </c>
      <c r="G720" s="1">
        <v>0.6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7">
        <v>125.2</v>
      </c>
      <c r="AI720" s="7">
        <v>146.69999999999999</v>
      </c>
      <c r="AJ720" s="7">
        <v>2.8</v>
      </c>
    </row>
    <row r="721" spans="1:36" s="1" customFormat="1" x14ac:dyDescent="0.2">
      <c r="A721" s="6" t="s">
        <v>602</v>
      </c>
      <c r="B721" s="1" t="s">
        <v>627</v>
      </c>
      <c r="C721" s="1">
        <f>((100-(D721+E721+F721+G721))/100)*100</f>
        <v>97.11</v>
      </c>
      <c r="D721" s="1">
        <v>1.41</v>
      </c>
      <c r="E721" s="1">
        <v>0.55000000000000004</v>
      </c>
      <c r="F721" s="1">
        <v>0.33</v>
      </c>
      <c r="G721" s="1">
        <v>0.6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7">
        <v>116.9</v>
      </c>
      <c r="AI721" s="7">
        <v>157.30000000000001</v>
      </c>
      <c r="AJ721" s="7">
        <v>3.6</v>
      </c>
    </row>
    <row r="722" spans="1:36" s="1" customFormat="1" x14ac:dyDescent="0.2">
      <c r="A722" s="3" t="s">
        <v>603</v>
      </c>
      <c r="B722" s="1" t="s">
        <v>626</v>
      </c>
      <c r="C722" s="1">
        <v>96.28</v>
      </c>
      <c r="D722" s="1">
        <v>0</v>
      </c>
      <c r="E722" s="1">
        <v>0</v>
      </c>
      <c r="F722" s="1">
        <v>0</v>
      </c>
      <c r="G722" s="1">
        <v>0.6</v>
      </c>
      <c r="H722" s="1">
        <v>0</v>
      </c>
      <c r="I722" s="1">
        <v>2.8</v>
      </c>
      <c r="J722" s="1">
        <v>0</v>
      </c>
      <c r="K722" s="1">
        <v>0</v>
      </c>
      <c r="L722" s="1">
        <v>0</v>
      </c>
      <c r="M722" s="1">
        <v>0</v>
      </c>
      <c r="N722" s="1">
        <v>0.32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3">
        <v>279</v>
      </c>
      <c r="AI722" s="3">
        <v>301</v>
      </c>
      <c r="AJ722" s="3">
        <v>23</v>
      </c>
    </row>
    <row r="723" spans="1:36" s="1" customFormat="1" x14ac:dyDescent="0.2">
      <c r="A723" s="6" t="s">
        <v>604</v>
      </c>
      <c r="B723" s="1" t="s">
        <v>627</v>
      </c>
      <c r="C723" s="1">
        <f>((100-(D723+E723+F723+G723))/100)*100</f>
        <v>95.69</v>
      </c>
      <c r="D723" s="1">
        <v>2.77</v>
      </c>
      <c r="E723" s="1">
        <v>0.26</v>
      </c>
      <c r="F723" s="1">
        <v>0.71</v>
      </c>
      <c r="G723" s="1">
        <v>0.56999999999999995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7">
        <v>151.19999999999999</v>
      </c>
      <c r="AI723" s="7">
        <v>162.1</v>
      </c>
      <c r="AJ723" s="7">
        <v>1.7</v>
      </c>
    </row>
    <row r="724" spans="1:36" s="1" customFormat="1" x14ac:dyDescent="0.2">
      <c r="A724" s="6" t="s">
        <v>605</v>
      </c>
      <c r="B724" s="1" t="s">
        <v>627</v>
      </c>
      <c r="C724" s="1">
        <f>((100-(D724+E724+F724+G724))/100)*100</f>
        <v>97.61</v>
      </c>
      <c r="D724" s="1">
        <v>1.1299999999999999</v>
      </c>
      <c r="E724" s="1">
        <v>0.45999999999999996</v>
      </c>
      <c r="F724" s="1">
        <v>0.33</v>
      </c>
      <c r="G724" s="1">
        <v>0.46999999999999992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7">
        <v>122.5</v>
      </c>
      <c r="AI724" s="7">
        <v>157.4</v>
      </c>
      <c r="AJ724" s="7">
        <v>4.5</v>
      </c>
    </row>
    <row r="725" spans="1:36" s="1" customFormat="1" x14ac:dyDescent="0.2">
      <c r="A725" s="3" t="s">
        <v>606</v>
      </c>
      <c r="B725" s="1" t="s">
        <v>626</v>
      </c>
      <c r="C725" s="1">
        <v>88.1</v>
      </c>
      <c r="D725" s="1">
        <v>0</v>
      </c>
      <c r="E725" s="1">
        <v>0</v>
      </c>
      <c r="F725" s="1">
        <v>0</v>
      </c>
      <c r="G725" s="1">
        <v>0.45999999999999996</v>
      </c>
      <c r="H725" s="1">
        <v>0</v>
      </c>
      <c r="I725" s="1">
        <v>1.02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10.41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0.01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3">
        <v>129.4</v>
      </c>
      <c r="AI725" s="3">
        <v>155.80000000000001</v>
      </c>
      <c r="AJ725" s="3">
        <v>45.3</v>
      </c>
    </row>
    <row r="726" spans="1:36" s="1" customFormat="1" x14ac:dyDescent="0.2">
      <c r="A726" s="3" t="s">
        <v>607</v>
      </c>
      <c r="B726" s="1" t="s">
        <v>629</v>
      </c>
      <c r="C726" s="1">
        <v>95.45</v>
      </c>
      <c r="D726" s="1">
        <v>2.85</v>
      </c>
      <c r="E726" s="1">
        <v>0</v>
      </c>
      <c r="F726" s="1">
        <v>0</v>
      </c>
      <c r="G726" s="1">
        <v>0.35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1.35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3">
        <v>145</v>
      </c>
      <c r="AI726" s="3">
        <v>248</v>
      </c>
      <c r="AJ726" s="3">
        <v>2</v>
      </c>
    </row>
    <row r="727" spans="1:36" s="1" customFormat="1" x14ac:dyDescent="0.2">
      <c r="A727" s="3" t="s">
        <v>608</v>
      </c>
      <c r="B727" s="1" t="s">
        <v>629</v>
      </c>
      <c r="C727" s="1">
        <v>94.3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4.3499999999999996</v>
      </c>
      <c r="J727" s="1">
        <v>0</v>
      </c>
      <c r="K727" s="1">
        <v>0</v>
      </c>
      <c r="L727" s="1">
        <v>0</v>
      </c>
      <c r="M727" s="1">
        <v>0</v>
      </c>
      <c r="N727" s="1">
        <v>0.35</v>
      </c>
      <c r="O727" s="1">
        <v>0</v>
      </c>
      <c r="P727" s="1">
        <v>0</v>
      </c>
      <c r="Q727" s="1">
        <v>0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3">
        <v>135</v>
      </c>
      <c r="AI727" s="3">
        <v>225</v>
      </c>
      <c r="AJ727" s="3">
        <v>4.5</v>
      </c>
    </row>
    <row r="728" spans="1:36" s="1" customFormat="1" x14ac:dyDescent="0.2">
      <c r="A728" s="3" t="s">
        <v>609</v>
      </c>
      <c r="B728" s="1" t="s">
        <v>627</v>
      </c>
      <c r="C728" s="1">
        <f>((100-(D728+E728+F728+G728))/100)*100</f>
        <v>97.35</v>
      </c>
      <c r="D728" s="1">
        <v>0.32</v>
      </c>
      <c r="E728" s="1">
        <v>2.3199999999999998</v>
      </c>
      <c r="F728" s="1">
        <v>0.01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3">
        <v>136.89557500000001</v>
      </c>
      <c r="AI728" s="3">
        <v>159.99782500000001</v>
      </c>
      <c r="AJ728" s="3">
        <v>3.7786647499999999</v>
      </c>
    </row>
    <row r="729" spans="1:36" s="1" customFormat="1" x14ac:dyDescent="0.2">
      <c r="A729" s="3" t="s">
        <v>610</v>
      </c>
      <c r="B729" s="1" t="s">
        <v>627</v>
      </c>
      <c r="C729" s="1">
        <v>97.8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2.1</v>
      </c>
      <c r="J729" s="1">
        <v>0</v>
      </c>
      <c r="K729" s="1">
        <v>0</v>
      </c>
      <c r="L729" s="1">
        <v>0</v>
      </c>
      <c r="M729" s="1">
        <v>0</v>
      </c>
      <c r="N729" s="1">
        <v>0.1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3">
        <v>89.6</v>
      </c>
      <c r="AI729" s="3">
        <v>214</v>
      </c>
      <c r="AJ729" s="3">
        <v>20</v>
      </c>
    </row>
    <row r="730" spans="1:36" s="1" customFormat="1" x14ac:dyDescent="0.2">
      <c r="A730" s="3" t="s">
        <v>611</v>
      </c>
      <c r="B730" s="1" t="s">
        <v>626</v>
      </c>
      <c r="C730" s="1">
        <v>85.6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9.1</v>
      </c>
      <c r="J730" s="1">
        <v>5.3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3">
        <v>496</v>
      </c>
      <c r="AI730" s="3">
        <v>565</v>
      </c>
      <c r="AJ730" s="3">
        <v>1</v>
      </c>
    </row>
    <row r="731" spans="1:36" s="1" customFormat="1" x14ac:dyDescent="0.2">
      <c r="A731" s="3" t="s">
        <v>611</v>
      </c>
      <c r="B731" s="1" t="s">
        <v>626</v>
      </c>
      <c r="C731" s="1">
        <v>85.6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9.1</v>
      </c>
      <c r="J731" s="1">
        <v>5.3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3">
        <v>496</v>
      </c>
      <c r="AI731" s="3">
        <v>558</v>
      </c>
      <c r="AJ731" s="3">
        <v>1</v>
      </c>
    </row>
    <row r="732" spans="1:36" s="1" customFormat="1" x14ac:dyDescent="0.2">
      <c r="A732" s="3" t="s">
        <v>611</v>
      </c>
      <c r="B732" s="1" t="s">
        <v>626</v>
      </c>
      <c r="C732" s="1">
        <v>85.6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9.1</v>
      </c>
      <c r="J732" s="1">
        <v>5.3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3">
        <v>492</v>
      </c>
      <c r="AI732" s="3">
        <v>560</v>
      </c>
      <c r="AJ732" s="3">
        <v>1</v>
      </c>
    </row>
    <row r="733" spans="1:36" s="1" customFormat="1" x14ac:dyDescent="0.2">
      <c r="A733" s="3" t="s">
        <v>611</v>
      </c>
      <c r="B733" s="1" t="s">
        <v>626</v>
      </c>
      <c r="C733" s="1">
        <v>85.6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9.1</v>
      </c>
      <c r="J733" s="1">
        <v>5.3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3">
        <v>474</v>
      </c>
      <c r="AI733" s="3">
        <v>545</v>
      </c>
      <c r="AJ733" s="3">
        <v>4.7</v>
      </c>
    </row>
    <row r="734" spans="1:36" s="1" customFormat="1" x14ac:dyDescent="0.2">
      <c r="A734" s="3" t="s">
        <v>611</v>
      </c>
      <c r="B734" s="1" t="s">
        <v>626</v>
      </c>
      <c r="C734" s="1">
        <v>85.6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9.1</v>
      </c>
      <c r="J734" s="1">
        <v>5.3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3">
        <v>474</v>
      </c>
      <c r="AI734" s="3">
        <v>537</v>
      </c>
      <c r="AJ734" s="3">
        <v>2.1</v>
      </c>
    </row>
    <row r="735" spans="1:36" s="1" customFormat="1" x14ac:dyDescent="0.2">
      <c r="A735" s="3" t="s">
        <v>611</v>
      </c>
      <c r="B735" s="1" t="s">
        <v>626</v>
      </c>
      <c r="C735" s="1">
        <v>85.6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9.1</v>
      </c>
      <c r="J735" s="1">
        <v>5.3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3">
        <v>460</v>
      </c>
      <c r="AI735" s="3">
        <v>537</v>
      </c>
      <c r="AJ735" s="3">
        <v>1.5</v>
      </c>
    </row>
    <row r="736" spans="1:36" s="1" customFormat="1" x14ac:dyDescent="0.2">
      <c r="A736" s="3" t="s">
        <v>611</v>
      </c>
      <c r="B736" s="1" t="s">
        <v>626</v>
      </c>
      <c r="C736" s="1">
        <v>85.6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9.1</v>
      </c>
      <c r="J736" s="1">
        <v>5.3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3">
        <v>417</v>
      </c>
      <c r="AI736" s="3">
        <v>461</v>
      </c>
      <c r="AJ736" s="3">
        <v>3.1</v>
      </c>
    </row>
    <row r="737" spans="1:36" s="1" customFormat="1" x14ac:dyDescent="0.2">
      <c r="A737" s="3" t="s">
        <v>611</v>
      </c>
      <c r="B737" s="1" t="s">
        <v>626</v>
      </c>
      <c r="C737" s="1">
        <v>85.6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9.1</v>
      </c>
      <c r="J737" s="1">
        <v>5.3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3">
        <v>413</v>
      </c>
      <c r="AI737" s="3">
        <v>459</v>
      </c>
      <c r="AJ737" s="3">
        <v>4.7</v>
      </c>
    </row>
    <row r="738" spans="1:36" s="1" customFormat="1" x14ac:dyDescent="0.2">
      <c r="A738" s="3" t="s">
        <v>611</v>
      </c>
      <c r="B738" s="1" t="s">
        <v>626</v>
      </c>
      <c r="C738" s="1">
        <v>85.6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9.1</v>
      </c>
      <c r="J738" s="1">
        <v>5.3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3">
        <v>418</v>
      </c>
      <c r="AI738" s="3">
        <v>462</v>
      </c>
      <c r="AJ738" s="3">
        <v>4.0999999999999996</v>
      </c>
    </row>
    <row r="739" spans="1:36" s="1" customFormat="1" x14ac:dyDescent="0.2">
      <c r="A739" s="1" t="s">
        <v>611</v>
      </c>
      <c r="B739" s="1" t="s">
        <v>625</v>
      </c>
      <c r="C739" s="1">
        <v>85.6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9.1</v>
      </c>
      <c r="J739" s="1">
        <v>5.3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474</v>
      </c>
      <c r="AI739" s="1">
        <v>545</v>
      </c>
      <c r="AJ739" s="1">
        <v>4.7</v>
      </c>
    </row>
    <row r="740" spans="1:36" s="1" customFormat="1" x14ac:dyDescent="0.2">
      <c r="A740" s="1" t="s">
        <v>611</v>
      </c>
      <c r="B740" s="1" t="s">
        <v>625</v>
      </c>
      <c r="C740" s="1">
        <v>85.6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9.1</v>
      </c>
      <c r="J740" s="1">
        <v>5.3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417</v>
      </c>
      <c r="AI740" s="1">
        <v>461</v>
      </c>
      <c r="AJ740" s="1">
        <v>3.1</v>
      </c>
    </row>
    <row r="741" spans="1:36" s="1" customFormat="1" x14ac:dyDescent="0.2">
      <c r="A741" s="6" t="s">
        <v>612</v>
      </c>
      <c r="B741" s="1" t="s">
        <v>627</v>
      </c>
      <c r="C741" s="1">
        <f>((100-(D741+E741+F741+G741))/100)*100</f>
        <v>97.1</v>
      </c>
      <c r="D741" s="1">
        <v>1.46</v>
      </c>
      <c r="E741" s="1">
        <v>0.55000000000000004</v>
      </c>
      <c r="F741" s="1">
        <v>0.32</v>
      </c>
      <c r="G741" s="1">
        <v>0.56999999999999995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7">
        <v>124.6</v>
      </c>
      <c r="AI741" s="7">
        <v>147.1</v>
      </c>
      <c r="AJ741" s="7">
        <v>2.7</v>
      </c>
    </row>
    <row r="742" spans="1:36" s="1" customFormat="1" x14ac:dyDescent="0.2">
      <c r="A742" s="3" t="s">
        <v>613</v>
      </c>
      <c r="B742" s="1" t="s">
        <v>627</v>
      </c>
      <c r="C742" s="1">
        <v>93.767209010000002</v>
      </c>
      <c r="D742" s="1">
        <v>0</v>
      </c>
      <c r="E742" s="1">
        <v>0</v>
      </c>
      <c r="F742" s="1">
        <v>0</v>
      </c>
      <c r="G742" s="1">
        <v>5.5068836000000001</v>
      </c>
      <c r="H742" s="1">
        <v>0</v>
      </c>
      <c r="I742" s="1">
        <v>0</v>
      </c>
      <c r="J742" s="1">
        <v>0</v>
      </c>
      <c r="K742" s="1">
        <v>0.72590737999999999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3">
        <v>230</v>
      </c>
      <c r="AI742" s="3">
        <v>320</v>
      </c>
      <c r="AJ742" s="3">
        <v>7.2</v>
      </c>
    </row>
    <row r="743" spans="1:36" s="1" customFormat="1" x14ac:dyDescent="0.2">
      <c r="A743" s="3" t="s">
        <v>614</v>
      </c>
      <c r="B743" s="1" t="s">
        <v>625</v>
      </c>
      <c r="C743" s="1">
        <v>93.767209010000002</v>
      </c>
      <c r="D743" s="1">
        <v>0</v>
      </c>
      <c r="E743" s="1">
        <v>0</v>
      </c>
      <c r="F743" s="1">
        <v>0</v>
      </c>
      <c r="G743" s="1">
        <v>5.5068836000000001</v>
      </c>
      <c r="H743" s="1">
        <v>0</v>
      </c>
      <c r="I743" s="1">
        <v>0</v>
      </c>
      <c r="J743" s="1">
        <v>0</v>
      </c>
      <c r="K743" s="1">
        <v>0.72590737999999999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3">
        <v>230</v>
      </c>
      <c r="AI743" s="3">
        <v>320</v>
      </c>
      <c r="AJ743" s="3">
        <v>9.9</v>
      </c>
    </row>
    <row r="744" spans="1:36" s="1" customFormat="1" x14ac:dyDescent="0.2">
      <c r="A744" s="3" t="s">
        <v>615</v>
      </c>
      <c r="B744" s="1" t="s">
        <v>625</v>
      </c>
      <c r="C744" s="1">
        <v>93.767209010000002</v>
      </c>
      <c r="D744" s="1">
        <v>0</v>
      </c>
      <c r="E744" s="1">
        <v>0</v>
      </c>
      <c r="F744" s="1">
        <v>0</v>
      </c>
      <c r="G744" s="1">
        <v>5.5068836000000001</v>
      </c>
      <c r="H744" s="1">
        <v>0</v>
      </c>
      <c r="I744" s="1">
        <v>0</v>
      </c>
      <c r="J744" s="1">
        <v>0</v>
      </c>
      <c r="K744" s="1">
        <v>0.72590737999999999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3">
        <v>250</v>
      </c>
      <c r="AI744" s="3">
        <v>330</v>
      </c>
      <c r="AJ744" s="3">
        <v>4.5</v>
      </c>
    </row>
    <row r="745" spans="1:36" s="1" customFormat="1" x14ac:dyDescent="0.2">
      <c r="A745" s="3" t="s">
        <v>616</v>
      </c>
      <c r="B745" s="1" t="s">
        <v>627</v>
      </c>
      <c r="C745" s="1">
        <f xml:space="preserve"> 100 - SUM(D745:AG745)</f>
        <v>90.850999999999999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6.2789999999999999</v>
      </c>
      <c r="J745" s="1">
        <v>0</v>
      </c>
      <c r="K745" s="1">
        <v>0</v>
      </c>
      <c r="L745" s="1">
        <v>0</v>
      </c>
      <c r="M745" s="1">
        <v>0</v>
      </c>
      <c r="N745" s="1">
        <v>0.42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2.4500000000000002</v>
      </c>
      <c r="AG745" s="1">
        <v>0</v>
      </c>
      <c r="AH745" s="3">
        <v>144.5</v>
      </c>
      <c r="AI745" s="3">
        <v>240</v>
      </c>
      <c r="AJ745" s="3">
        <v>9</v>
      </c>
    </row>
    <row r="746" spans="1:36" s="1" customFormat="1" x14ac:dyDescent="0.2">
      <c r="A746" s="3" t="s">
        <v>507</v>
      </c>
      <c r="B746" s="1" t="s">
        <v>626</v>
      </c>
      <c r="C746" s="1">
        <f t="shared" ref="C746:C759" si="9" xml:space="preserve"> 100 - SUM(D746:AG746)</f>
        <v>85.4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4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10.6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3">
        <v>455</v>
      </c>
      <c r="AI746" s="3">
        <v>506</v>
      </c>
      <c r="AJ746" s="3">
        <v>1.6</v>
      </c>
    </row>
    <row r="747" spans="1:36" s="1" customFormat="1" x14ac:dyDescent="0.2">
      <c r="A747" s="3" t="s">
        <v>617</v>
      </c>
      <c r="B747" s="1" t="s">
        <v>626</v>
      </c>
      <c r="C747" s="1">
        <f t="shared" si="9"/>
        <v>92.233000000000004</v>
      </c>
      <c r="D747" s="1">
        <v>0</v>
      </c>
      <c r="E747" s="1">
        <v>0</v>
      </c>
      <c r="F747" s="1">
        <v>0</v>
      </c>
      <c r="G747" s="1">
        <v>0.74</v>
      </c>
      <c r="H747" s="1">
        <v>0</v>
      </c>
      <c r="I747" s="1">
        <v>6.76</v>
      </c>
      <c r="J747" s="1">
        <v>0</v>
      </c>
      <c r="K747" s="1">
        <v>0</v>
      </c>
      <c r="L747" s="1">
        <v>0</v>
      </c>
      <c r="M747" s="1">
        <v>0</v>
      </c>
      <c r="N747" s="1">
        <v>0.22</v>
      </c>
      <c r="O747" s="1">
        <v>0</v>
      </c>
      <c r="P747" s="1">
        <v>0</v>
      </c>
      <c r="Q747" s="1">
        <v>4.0000000000000001E-3</v>
      </c>
      <c r="R747" s="1">
        <v>4.2999999999999997E-2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3">
        <v>297</v>
      </c>
      <c r="AI747" s="3">
        <v>319</v>
      </c>
      <c r="AJ747" s="3">
        <v>18</v>
      </c>
    </row>
    <row r="748" spans="1:36" s="1" customFormat="1" x14ac:dyDescent="0.2">
      <c r="A748" s="3" t="s">
        <v>618</v>
      </c>
      <c r="B748" s="1" t="s">
        <v>625</v>
      </c>
      <c r="C748" s="1">
        <f t="shared" si="9"/>
        <v>90.084299999999999</v>
      </c>
      <c r="D748" s="1">
        <v>0</v>
      </c>
      <c r="E748" s="1">
        <v>0</v>
      </c>
      <c r="F748" s="1">
        <v>0</v>
      </c>
      <c r="G748" s="1">
        <v>0.81000000000000016</v>
      </c>
      <c r="H748" s="1">
        <v>0</v>
      </c>
      <c r="I748" s="1">
        <v>8.9</v>
      </c>
      <c r="J748" s="1">
        <v>0</v>
      </c>
      <c r="K748" s="1">
        <v>0</v>
      </c>
      <c r="L748" s="1">
        <v>0</v>
      </c>
      <c r="M748" s="1">
        <v>0</v>
      </c>
      <c r="N748" s="1">
        <v>0.2</v>
      </c>
      <c r="O748" s="1">
        <v>0</v>
      </c>
      <c r="P748" s="1">
        <v>0</v>
      </c>
      <c r="Q748" s="1">
        <v>6.9999999999999999E-4</v>
      </c>
      <c r="R748" s="1">
        <v>5.0000000000000001E-3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3">
        <v>86.7</v>
      </c>
      <c r="AI748" s="3">
        <v>203</v>
      </c>
      <c r="AJ748" s="3">
        <v>7.1</v>
      </c>
    </row>
    <row r="749" spans="1:36" s="1" customFormat="1" x14ac:dyDescent="0.2">
      <c r="A749" s="3" t="s">
        <v>619</v>
      </c>
      <c r="B749" s="1" t="s">
        <v>626</v>
      </c>
      <c r="C749" s="1">
        <f t="shared" si="9"/>
        <v>96.209199999999996</v>
      </c>
      <c r="D749" s="1">
        <v>0</v>
      </c>
      <c r="E749" s="1">
        <v>0</v>
      </c>
      <c r="F749" s="1">
        <v>0</v>
      </c>
      <c r="G749" s="1">
        <v>0.06</v>
      </c>
      <c r="H749" s="1">
        <v>0</v>
      </c>
      <c r="I749" s="1">
        <v>3.4000000000000004</v>
      </c>
      <c r="J749" s="1">
        <v>0</v>
      </c>
      <c r="K749" s="1">
        <v>0</v>
      </c>
      <c r="L749" s="1">
        <v>0</v>
      </c>
      <c r="M749" s="1">
        <v>0</v>
      </c>
      <c r="N749" s="1">
        <v>0.33</v>
      </c>
      <c r="O749" s="1">
        <v>0</v>
      </c>
      <c r="P749" s="1">
        <v>0</v>
      </c>
      <c r="Q749" s="1">
        <v>7.9999999999999993E-4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3">
        <v>170</v>
      </c>
      <c r="AI749" s="3">
        <v>240</v>
      </c>
      <c r="AJ749" s="3">
        <v>12</v>
      </c>
    </row>
    <row r="750" spans="1:36" s="1" customFormat="1" x14ac:dyDescent="0.2">
      <c r="A750" s="3" t="s">
        <v>512</v>
      </c>
      <c r="B750" s="1" t="s">
        <v>627</v>
      </c>
      <c r="C750" s="1">
        <f t="shared" si="9"/>
        <v>95.738</v>
      </c>
      <c r="D750" s="1">
        <v>0</v>
      </c>
      <c r="E750" s="1">
        <v>0</v>
      </c>
      <c r="F750" s="1">
        <v>0</v>
      </c>
      <c r="G750" s="1">
        <v>2E-3</v>
      </c>
      <c r="H750" s="1">
        <v>0</v>
      </c>
      <c r="I750" s="1">
        <v>3.9</v>
      </c>
      <c r="J750" s="1">
        <v>0</v>
      </c>
      <c r="K750" s="1">
        <v>0</v>
      </c>
      <c r="L750" s="1">
        <v>0</v>
      </c>
      <c r="M750" s="1">
        <v>0</v>
      </c>
      <c r="N750" s="1">
        <v>0.35</v>
      </c>
      <c r="O750" s="1">
        <v>0</v>
      </c>
      <c r="P750" s="1">
        <v>0</v>
      </c>
      <c r="Q750" s="1">
        <v>0</v>
      </c>
      <c r="R750" s="1">
        <v>0.01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3">
        <v>122.5</v>
      </c>
      <c r="AI750" s="3">
        <v>132.5</v>
      </c>
      <c r="AJ750" s="3">
        <v>0.6</v>
      </c>
    </row>
    <row r="751" spans="1:36" s="1" customFormat="1" x14ac:dyDescent="0.2">
      <c r="A751" s="3" t="s">
        <v>512</v>
      </c>
      <c r="B751" s="1" t="s">
        <v>627</v>
      </c>
      <c r="C751" s="1">
        <f t="shared" si="9"/>
        <v>95.738</v>
      </c>
      <c r="D751" s="1">
        <v>0</v>
      </c>
      <c r="E751" s="1">
        <v>0</v>
      </c>
      <c r="F751" s="1">
        <v>0</v>
      </c>
      <c r="G751" s="1">
        <v>2E-3</v>
      </c>
      <c r="H751" s="1">
        <v>0</v>
      </c>
      <c r="I751" s="1">
        <v>3.9</v>
      </c>
      <c r="J751" s="1">
        <v>0</v>
      </c>
      <c r="K751" s="1">
        <v>0</v>
      </c>
      <c r="L751" s="1">
        <v>0</v>
      </c>
      <c r="M751" s="1">
        <v>0</v>
      </c>
      <c r="N751" s="1">
        <v>0.35</v>
      </c>
      <c r="O751" s="1">
        <v>0</v>
      </c>
      <c r="P751" s="1">
        <v>0</v>
      </c>
      <c r="Q751" s="1">
        <v>0</v>
      </c>
      <c r="R751" s="1">
        <v>0.01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3">
        <v>135</v>
      </c>
      <c r="AI751" s="3">
        <v>255</v>
      </c>
      <c r="AJ751" s="3">
        <v>15</v>
      </c>
    </row>
    <row r="752" spans="1:36" s="1" customFormat="1" x14ac:dyDescent="0.2">
      <c r="A752" s="3" t="s">
        <v>620</v>
      </c>
      <c r="B752" s="1" t="s">
        <v>626</v>
      </c>
      <c r="C752" s="1">
        <f t="shared" si="9"/>
        <v>90.667000000000002</v>
      </c>
      <c r="D752" s="1">
        <v>0</v>
      </c>
      <c r="E752" s="1">
        <v>0</v>
      </c>
      <c r="F752" s="1">
        <v>0</v>
      </c>
      <c r="G752" s="1">
        <v>0.6</v>
      </c>
      <c r="H752" s="1">
        <v>0</v>
      </c>
      <c r="I752" s="1">
        <v>8.4</v>
      </c>
      <c r="J752" s="1">
        <v>0</v>
      </c>
      <c r="K752" s="1">
        <v>0</v>
      </c>
      <c r="L752" s="1">
        <v>0</v>
      </c>
      <c r="M752" s="1">
        <v>0</v>
      </c>
      <c r="N752" s="1">
        <v>0.3</v>
      </c>
      <c r="O752" s="1">
        <v>0</v>
      </c>
      <c r="P752" s="1">
        <v>0</v>
      </c>
      <c r="Q752" s="1">
        <v>3.0000000000000001E-3</v>
      </c>
      <c r="R752" s="1">
        <v>0.03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3">
        <v>329</v>
      </c>
      <c r="AI752" s="3">
        <v>333</v>
      </c>
      <c r="AJ752" s="3">
        <v>13</v>
      </c>
    </row>
    <row r="753" spans="1:36" s="1" customFormat="1" x14ac:dyDescent="0.2">
      <c r="A753" s="3" t="s">
        <v>118</v>
      </c>
      <c r="B753" s="1" t="s">
        <v>627</v>
      </c>
      <c r="C753" s="1">
        <f t="shared" si="9"/>
        <v>90.097999999999999</v>
      </c>
      <c r="D753" s="1">
        <v>0</v>
      </c>
      <c r="E753" s="1">
        <v>0</v>
      </c>
      <c r="F753" s="1">
        <v>0</v>
      </c>
      <c r="G753" s="1">
        <v>0.68</v>
      </c>
      <c r="H753" s="1">
        <v>0</v>
      </c>
      <c r="I753" s="1">
        <v>9</v>
      </c>
      <c r="J753" s="1">
        <v>0</v>
      </c>
      <c r="K753" s="1">
        <v>0</v>
      </c>
      <c r="L753" s="1">
        <v>0</v>
      </c>
      <c r="M753" s="1">
        <v>0</v>
      </c>
      <c r="N753" s="1">
        <v>0.17</v>
      </c>
      <c r="O753" s="1">
        <v>0</v>
      </c>
      <c r="P753" s="1">
        <v>0</v>
      </c>
      <c r="Q753" s="1">
        <v>1E-3</v>
      </c>
      <c r="R753" s="1">
        <v>5.099999999999999E-2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3">
        <v>185</v>
      </c>
      <c r="AI753" s="3">
        <v>285</v>
      </c>
      <c r="AJ753" s="3">
        <v>9.8000000000000007</v>
      </c>
    </row>
    <row r="754" spans="1:36" s="1" customFormat="1" x14ac:dyDescent="0.2">
      <c r="A754" s="3" t="s">
        <v>118</v>
      </c>
      <c r="B754" s="1" t="s">
        <v>625</v>
      </c>
      <c r="C754" s="1">
        <f t="shared" si="9"/>
        <v>90.097999999999999</v>
      </c>
      <c r="D754" s="1">
        <v>0</v>
      </c>
      <c r="E754" s="1">
        <v>0</v>
      </c>
      <c r="F754" s="1">
        <v>0</v>
      </c>
      <c r="G754" s="1">
        <v>0.68</v>
      </c>
      <c r="H754" s="1">
        <v>0</v>
      </c>
      <c r="I754" s="1">
        <v>9</v>
      </c>
      <c r="J754" s="1">
        <v>0</v>
      </c>
      <c r="K754" s="1">
        <v>0</v>
      </c>
      <c r="L754" s="1">
        <v>0</v>
      </c>
      <c r="M754" s="1">
        <v>0</v>
      </c>
      <c r="N754" s="1">
        <v>0.17</v>
      </c>
      <c r="O754" s="1">
        <v>0</v>
      </c>
      <c r="P754" s="1">
        <v>0</v>
      </c>
      <c r="Q754" s="1">
        <v>1E-3</v>
      </c>
      <c r="R754" s="1">
        <v>5.099999999999999E-2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3">
        <v>149</v>
      </c>
      <c r="AI754" s="3">
        <v>304</v>
      </c>
      <c r="AJ754" s="3">
        <v>15.5</v>
      </c>
    </row>
    <row r="755" spans="1:36" s="1" customFormat="1" x14ac:dyDescent="0.2">
      <c r="A755" s="3" t="s">
        <v>118</v>
      </c>
      <c r="B755" s="1" t="s">
        <v>625</v>
      </c>
      <c r="C755" s="1">
        <f t="shared" si="9"/>
        <v>90.097999999999999</v>
      </c>
      <c r="D755" s="1">
        <v>0</v>
      </c>
      <c r="E755" s="1">
        <v>0</v>
      </c>
      <c r="F755" s="1">
        <v>0</v>
      </c>
      <c r="G755" s="1">
        <v>0.68</v>
      </c>
      <c r="H755" s="1">
        <v>0</v>
      </c>
      <c r="I755" s="1">
        <v>9</v>
      </c>
      <c r="J755" s="1">
        <v>0</v>
      </c>
      <c r="K755" s="1">
        <v>0</v>
      </c>
      <c r="L755" s="1">
        <v>0</v>
      </c>
      <c r="M755" s="1">
        <v>0</v>
      </c>
      <c r="N755" s="1">
        <v>0.17</v>
      </c>
      <c r="O755" s="1">
        <v>0</v>
      </c>
      <c r="P755" s="1">
        <v>0</v>
      </c>
      <c r="Q755" s="1">
        <v>1E-3</v>
      </c>
      <c r="R755" s="1">
        <v>5.099999999999999E-2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3">
        <v>214</v>
      </c>
      <c r="AI755" s="3">
        <v>334</v>
      </c>
      <c r="AJ755" s="3">
        <v>10.8</v>
      </c>
    </row>
    <row r="756" spans="1:36" s="1" customFormat="1" x14ac:dyDescent="0.2">
      <c r="A756" s="3" t="s">
        <v>118</v>
      </c>
      <c r="B756" s="1" t="s">
        <v>625</v>
      </c>
      <c r="C756" s="1">
        <f t="shared" si="9"/>
        <v>90.097999999999999</v>
      </c>
      <c r="D756" s="1">
        <v>0</v>
      </c>
      <c r="E756" s="1">
        <v>0</v>
      </c>
      <c r="F756" s="1">
        <v>0</v>
      </c>
      <c r="G756" s="1">
        <v>0.68</v>
      </c>
      <c r="H756" s="1">
        <v>0</v>
      </c>
      <c r="I756" s="1">
        <v>9</v>
      </c>
      <c r="J756" s="1">
        <v>0</v>
      </c>
      <c r="K756" s="1">
        <v>0</v>
      </c>
      <c r="L756" s="1">
        <v>0</v>
      </c>
      <c r="M756" s="1">
        <v>0</v>
      </c>
      <c r="N756" s="1">
        <v>0.17</v>
      </c>
      <c r="O756" s="1">
        <v>0</v>
      </c>
      <c r="P756" s="1">
        <v>0</v>
      </c>
      <c r="Q756" s="1">
        <v>1E-3</v>
      </c>
      <c r="R756" s="1">
        <v>5.099999999999999E-2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3">
        <v>212</v>
      </c>
      <c r="AI756" s="3">
        <v>327</v>
      </c>
      <c r="AJ756" s="3">
        <v>7.8</v>
      </c>
    </row>
    <row r="757" spans="1:36" s="1" customFormat="1" x14ac:dyDescent="0.2">
      <c r="A757" s="3" t="s">
        <v>631</v>
      </c>
      <c r="B757" s="1" t="s">
        <v>626</v>
      </c>
      <c r="C757" s="1">
        <f t="shared" si="9"/>
        <v>99.998400000000004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2.9999999999999997E-4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1.1000000000000001E-3</v>
      </c>
      <c r="AA757" s="1">
        <v>2.0000000000000001E-4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3">
        <v>96.66</v>
      </c>
      <c r="AI757" s="3">
        <v>190</v>
      </c>
      <c r="AJ757" s="3">
        <v>6.93</v>
      </c>
    </row>
    <row r="758" spans="1:36" s="1" customFormat="1" x14ac:dyDescent="0.2">
      <c r="A758" s="3" t="s">
        <v>632</v>
      </c>
      <c r="B758" s="1" t="s">
        <v>626</v>
      </c>
      <c r="C758" s="1">
        <f t="shared" si="9"/>
        <v>98.022000000000006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1.97</v>
      </c>
      <c r="M758" s="1">
        <v>0</v>
      </c>
      <c r="N758" s="1">
        <v>0</v>
      </c>
      <c r="O758" s="1">
        <v>0</v>
      </c>
      <c r="P758" s="1">
        <v>0</v>
      </c>
      <c r="Q758" s="1">
        <v>1.2999999999999999E-3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2.7000000000000001E-3</v>
      </c>
      <c r="AA758" s="1">
        <v>4.0000000000000001E-3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3">
        <v>139.66</v>
      </c>
      <c r="AI758" s="3">
        <v>220.66</v>
      </c>
      <c r="AJ758" s="3">
        <v>14.36</v>
      </c>
    </row>
    <row r="759" spans="1:36" s="1" customFormat="1" x14ac:dyDescent="0.2">
      <c r="A759" s="3" t="s">
        <v>633</v>
      </c>
      <c r="B759" s="1" t="s">
        <v>626</v>
      </c>
      <c r="C759" s="1">
        <f t="shared" si="9"/>
        <v>96.067499999999995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3.93</v>
      </c>
      <c r="M759" s="1">
        <v>0</v>
      </c>
      <c r="N759" s="1">
        <v>0</v>
      </c>
      <c r="O759" s="1">
        <v>0</v>
      </c>
      <c r="P759" s="1">
        <v>0</v>
      </c>
      <c r="Q759" s="1">
        <v>8.9999999999999998E-4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1.4E-3</v>
      </c>
      <c r="AA759" s="1">
        <v>2.0000000000000001E-4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3">
        <v>151</v>
      </c>
      <c r="AI759" s="3">
        <v>226.33</v>
      </c>
      <c r="AJ759" s="3">
        <v>23.06</v>
      </c>
    </row>
    <row r="760" spans="1:36" s="1" customFormat="1" x14ac:dyDescent="0.2">
      <c r="A760" s="3" t="s">
        <v>634</v>
      </c>
      <c r="B760" s="1" t="s">
        <v>626</v>
      </c>
      <c r="C760" s="1">
        <f t="shared" ref="C760" si="10" xml:space="preserve"> 100 -L760-Q760-Z760-AA760</f>
        <v>94.007800000000003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5.99</v>
      </c>
      <c r="M760" s="1">
        <v>0</v>
      </c>
      <c r="N760" s="1">
        <v>0</v>
      </c>
      <c r="O760" s="1">
        <v>0</v>
      </c>
      <c r="P760" s="1">
        <v>0</v>
      </c>
      <c r="Q760" s="1">
        <v>4.0000000000000002E-4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1.6000000000000001E-3</v>
      </c>
      <c r="AA760" s="1">
        <v>2.0000000000000001E-4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3">
        <v>168.66</v>
      </c>
      <c r="AI760" s="3">
        <v>249.33</v>
      </c>
      <c r="AJ760" s="3">
        <v>25.5</v>
      </c>
    </row>
    <row r="761" spans="1:36" s="1" customFormat="1" x14ac:dyDescent="0.2">
      <c r="A761" s="1" t="s">
        <v>635</v>
      </c>
      <c r="B761" s="1" t="s">
        <v>625</v>
      </c>
      <c r="C761" s="1">
        <f>100-K761-O761-P761</f>
        <v>88.6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0.4</v>
      </c>
      <c r="L761" s="1">
        <v>0</v>
      </c>
      <c r="M761" s="1">
        <v>0</v>
      </c>
      <c r="N761" s="1">
        <v>0</v>
      </c>
      <c r="O761" s="1">
        <v>3</v>
      </c>
      <c r="P761" s="1">
        <v>8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3">
        <v>222</v>
      </c>
      <c r="AI761" s="3">
        <v>362</v>
      </c>
      <c r="AJ761" s="3">
        <v>7.6</v>
      </c>
    </row>
    <row r="762" spans="1:36" s="1" customFormat="1" x14ac:dyDescent="0.2">
      <c r="A762" s="1" t="s">
        <v>636</v>
      </c>
      <c r="B762" s="1" t="s">
        <v>625</v>
      </c>
      <c r="C762" s="1">
        <f t="shared" ref="C762:C764" si="11">100-K762-O762-P762</f>
        <v>86.5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0.5</v>
      </c>
      <c r="L762" s="1">
        <v>0</v>
      </c>
      <c r="M762" s="1">
        <v>0</v>
      </c>
      <c r="N762" s="1">
        <v>0</v>
      </c>
      <c r="O762" s="1">
        <v>4</v>
      </c>
      <c r="P762" s="1">
        <v>9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3">
        <v>277</v>
      </c>
      <c r="AI762" s="3">
        <v>370</v>
      </c>
      <c r="AJ762" s="3">
        <v>4.5</v>
      </c>
    </row>
    <row r="763" spans="1:36" s="1" customFormat="1" x14ac:dyDescent="0.2">
      <c r="A763" s="1" t="s">
        <v>637</v>
      </c>
      <c r="B763" s="1" t="s">
        <v>625</v>
      </c>
      <c r="C763" s="1">
        <f t="shared" si="11"/>
        <v>87.6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0.4</v>
      </c>
      <c r="L763" s="1">
        <v>0</v>
      </c>
      <c r="M763" s="1">
        <v>0</v>
      </c>
      <c r="N763" s="1">
        <v>0</v>
      </c>
      <c r="O763" s="1">
        <v>2</v>
      </c>
      <c r="P763" s="1">
        <v>10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3">
        <v>239</v>
      </c>
      <c r="AI763" s="3">
        <v>362</v>
      </c>
      <c r="AJ763" s="3">
        <v>4.7</v>
      </c>
    </row>
    <row r="764" spans="1:36" s="1" customFormat="1" x14ac:dyDescent="0.2">
      <c r="A764" s="1" t="s">
        <v>638</v>
      </c>
      <c r="B764" s="1" t="s">
        <v>625</v>
      </c>
      <c r="C764" s="1">
        <f t="shared" si="11"/>
        <v>86.6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0.4</v>
      </c>
      <c r="L764" s="1">
        <v>0</v>
      </c>
      <c r="M764" s="1">
        <v>0</v>
      </c>
      <c r="N764" s="1">
        <v>0</v>
      </c>
      <c r="O764" s="1">
        <v>3</v>
      </c>
      <c r="P764" s="1">
        <v>10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3">
        <v>241</v>
      </c>
      <c r="AI764" s="3">
        <v>370</v>
      </c>
      <c r="AJ764" s="3">
        <v>4.0999999999999996</v>
      </c>
    </row>
    <row r="765" spans="1:36" s="1" customFormat="1" x14ac:dyDescent="0.2">
      <c r="A765" s="1" t="s">
        <v>639</v>
      </c>
      <c r="B765" s="1" t="s">
        <v>625</v>
      </c>
      <c r="C765" s="1">
        <v>86</v>
      </c>
      <c r="D765" s="1">
        <v>2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1</v>
      </c>
      <c r="L765" s="1">
        <v>0</v>
      </c>
      <c r="M765" s="1">
        <v>0</v>
      </c>
      <c r="N765" s="1">
        <v>0</v>
      </c>
      <c r="O765" s="1">
        <v>0</v>
      </c>
      <c r="P765" s="1">
        <v>11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3">
        <v>224</v>
      </c>
      <c r="AI765" s="3">
        <v>353</v>
      </c>
      <c r="AJ765" s="3">
        <v>3.7</v>
      </c>
    </row>
    <row r="766" spans="1:36" s="1" customFormat="1" x14ac:dyDescent="0.2">
      <c r="A766" s="1" t="s">
        <v>640</v>
      </c>
      <c r="B766" s="1" t="s">
        <v>625</v>
      </c>
      <c r="C766" s="1">
        <v>90.2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0.4</v>
      </c>
      <c r="L766" s="1">
        <v>0</v>
      </c>
      <c r="M766" s="1">
        <v>0</v>
      </c>
      <c r="N766" s="1">
        <v>0</v>
      </c>
      <c r="O766" s="1">
        <v>0</v>
      </c>
      <c r="P766" s="1">
        <v>8.3000000000000007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1.1000000000000001</v>
      </c>
      <c r="AE766" s="1">
        <v>0</v>
      </c>
      <c r="AF766" s="1">
        <v>0</v>
      </c>
      <c r="AG766" s="1">
        <v>0</v>
      </c>
      <c r="AH766" s="3">
        <v>261</v>
      </c>
      <c r="AI766" s="3">
        <v>355</v>
      </c>
      <c r="AJ766" s="3">
        <v>3.8</v>
      </c>
    </row>
    <row r="767" spans="1:36" s="1" customFormat="1" x14ac:dyDescent="0.2">
      <c r="A767" s="1" t="s">
        <v>641</v>
      </c>
      <c r="B767" s="1" t="s">
        <v>625</v>
      </c>
      <c r="C767" s="1">
        <v>89.8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0.2</v>
      </c>
      <c r="L767" s="1">
        <v>0</v>
      </c>
      <c r="M767" s="1">
        <v>0</v>
      </c>
      <c r="N767" s="1">
        <v>0</v>
      </c>
      <c r="O767" s="1">
        <v>0</v>
      </c>
      <c r="P767" s="1">
        <v>8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2</v>
      </c>
      <c r="AE767" s="1">
        <v>0</v>
      </c>
      <c r="AF767" s="1">
        <v>0</v>
      </c>
      <c r="AG767" s="1">
        <v>0</v>
      </c>
      <c r="AH767" s="3">
        <v>215</v>
      </c>
      <c r="AI767" s="3">
        <v>360</v>
      </c>
      <c r="AJ767" s="3">
        <v>7</v>
      </c>
    </row>
    <row r="768" spans="1:36" s="1" customFormat="1" x14ac:dyDescent="0.2">
      <c r="A768" s="1" t="s">
        <v>642</v>
      </c>
      <c r="B768" s="1" t="s">
        <v>625</v>
      </c>
      <c r="C768" s="1">
        <v>87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0.4</v>
      </c>
      <c r="L768" s="1">
        <v>1.8</v>
      </c>
      <c r="M768" s="1">
        <v>0</v>
      </c>
      <c r="N768" s="1">
        <v>0</v>
      </c>
      <c r="O768" s="1">
        <v>2.2999999999999998</v>
      </c>
      <c r="P768" s="1">
        <v>8.5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3">
        <v>268</v>
      </c>
      <c r="AI768" s="3">
        <v>403</v>
      </c>
      <c r="AJ768" s="3">
        <v>4.9000000000000004</v>
      </c>
    </row>
    <row r="769" spans="1:36" s="1" customFormat="1" x14ac:dyDescent="0.2">
      <c r="A769" s="1" t="s">
        <v>643</v>
      </c>
      <c r="B769" s="1" t="s">
        <v>625</v>
      </c>
      <c r="C769" s="1">
        <v>79.7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0.3</v>
      </c>
      <c r="L769" s="1">
        <v>2</v>
      </c>
      <c r="M769" s="1">
        <v>0</v>
      </c>
      <c r="N769" s="1">
        <v>0</v>
      </c>
      <c r="O769" s="1">
        <v>0</v>
      </c>
      <c r="P769" s="1">
        <v>18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3">
        <v>293</v>
      </c>
      <c r="AI769" s="3">
        <v>414</v>
      </c>
      <c r="AJ769" s="3">
        <v>2.2000000000000002</v>
      </c>
    </row>
    <row r="770" spans="1:36" s="1" customFormat="1" x14ac:dyDescent="0.2">
      <c r="A770" s="1" t="s">
        <v>644</v>
      </c>
      <c r="B770" s="1" t="s">
        <v>625</v>
      </c>
      <c r="C770" s="1">
        <v>82.2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0.4</v>
      </c>
      <c r="L770" s="1">
        <v>1.8</v>
      </c>
      <c r="M770" s="1">
        <v>0</v>
      </c>
      <c r="N770" s="1">
        <v>0</v>
      </c>
      <c r="O770" s="1">
        <v>0</v>
      </c>
      <c r="P770" s="1">
        <v>15.6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3">
        <v>328</v>
      </c>
      <c r="AI770" s="3">
        <v>423</v>
      </c>
      <c r="AJ770" s="3">
        <v>2.6</v>
      </c>
    </row>
    <row r="771" spans="1:36" s="1" customFormat="1" x14ac:dyDescent="0.2">
      <c r="A771" s="1" t="s">
        <v>645</v>
      </c>
      <c r="B771" s="1" t="s">
        <v>625</v>
      </c>
      <c r="C771" s="1">
        <v>89.2</v>
      </c>
      <c r="D771" s="1">
        <v>0</v>
      </c>
      <c r="E771" s="1">
        <v>0</v>
      </c>
      <c r="F771" s="1">
        <v>0</v>
      </c>
      <c r="G771" s="1">
        <v>1.8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6.5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2.5</v>
      </c>
      <c r="AE771" s="1">
        <v>0</v>
      </c>
      <c r="AF771" s="1">
        <v>0</v>
      </c>
      <c r="AG771" s="1">
        <v>0</v>
      </c>
      <c r="AH771" s="3">
        <v>295</v>
      </c>
      <c r="AI771" s="3">
        <v>392</v>
      </c>
      <c r="AJ771" s="3">
        <v>6.1</v>
      </c>
    </row>
    <row r="772" spans="1:36" s="1" customFormat="1" x14ac:dyDescent="0.2">
      <c r="A772" s="1" t="s">
        <v>646</v>
      </c>
      <c r="B772" s="1" t="s">
        <v>625</v>
      </c>
      <c r="C772" s="1">
        <v>85.6</v>
      </c>
      <c r="D772" s="1">
        <v>0</v>
      </c>
      <c r="E772" s="1">
        <v>0</v>
      </c>
      <c r="F772" s="1">
        <v>0</v>
      </c>
      <c r="G772" s="1">
        <v>1</v>
      </c>
      <c r="H772" s="1">
        <v>0</v>
      </c>
      <c r="I772" s="1">
        <v>0</v>
      </c>
      <c r="J772" s="1">
        <v>0</v>
      </c>
      <c r="K772" s="1">
        <v>0.4</v>
      </c>
      <c r="L772" s="1">
        <v>0</v>
      </c>
      <c r="M772" s="1">
        <v>0</v>
      </c>
      <c r="N772" s="1">
        <v>0</v>
      </c>
      <c r="O772" s="1">
        <v>3</v>
      </c>
      <c r="P772" s="1">
        <v>10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3">
        <v>253</v>
      </c>
      <c r="AI772" s="3">
        <v>364</v>
      </c>
      <c r="AJ772" s="3">
        <v>2</v>
      </c>
    </row>
    <row r="773" spans="1:36" s="1" customFormat="1" x14ac:dyDescent="0.2">
      <c r="A773" s="1" t="s">
        <v>647</v>
      </c>
      <c r="B773" s="1" t="s">
        <v>625</v>
      </c>
      <c r="C773" s="1">
        <v>83.5</v>
      </c>
      <c r="D773" s="1">
        <v>0</v>
      </c>
      <c r="E773" s="1">
        <v>0</v>
      </c>
      <c r="F773" s="1">
        <v>0</v>
      </c>
      <c r="G773" s="1">
        <v>2</v>
      </c>
      <c r="H773" s="1">
        <v>0</v>
      </c>
      <c r="I773" s="1">
        <v>0</v>
      </c>
      <c r="J773" s="1">
        <v>0</v>
      </c>
      <c r="K773" s="1">
        <v>0.5</v>
      </c>
      <c r="L773" s="1">
        <v>0</v>
      </c>
      <c r="M773" s="1">
        <v>0</v>
      </c>
      <c r="N773" s="1">
        <v>0</v>
      </c>
      <c r="O773" s="1">
        <v>0</v>
      </c>
      <c r="P773" s="1">
        <v>14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3">
        <v>292</v>
      </c>
      <c r="AI773" s="3">
        <v>404</v>
      </c>
      <c r="AJ773" s="3">
        <v>5.3</v>
      </c>
    </row>
    <row r="774" spans="1:36" s="1" customFormat="1" x14ac:dyDescent="0.2">
      <c r="A774" s="1" t="s">
        <v>648</v>
      </c>
      <c r="B774" s="1" t="s">
        <v>625</v>
      </c>
      <c r="C774" s="1">
        <v>80.7</v>
      </c>
      <c r="D774" s="1">
        <v>0</v>
      </c>
      <c r="E774" s="1">
        <v>0</v>
      </c>
      <c r="F774" s="1">
        <v>0</v>
      </c>
      <c r="G774" s="1">
        <v>1.8</v>
      </c>
      <c r="H774" s="1">
        <v>0</v>
      </c>
      <c r="I774" s="1">
        <v>0</v>
      </c>
      <c r="J774" s="1">
        <v>0</v>
      </c>
      <c r="K774" s="1">
        <v>0.5</v>
      </c>
      <c r="L774" s="1">
        <v>0</v>
      </c>
      <c r="M774" s="1">
        <v>0</v>
      </c>
      <c r="N774" s="1">
        <v>0</v>
      </c>
      <c r="O774" s="1">
        <v>3</v>
      </c>
      <c r="P774" s="1">
        <v>14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3">
        <v>230</v>
      </c>
      <c r="AI774" s="3">
        <v>366</v>
      </c>
      <c r="AJ774" s="3">
        <v>2.8</v>
      </c>
    </row>
    <row r="775" spans="1:36" s="1" customFormat="1" x14ac:dyDescent="0.2">
      <c r="A775" s="1" t="s">
        <v>649</v>
      </c>
      <c r="B775" s="1" t="s">
        <v>625</v>
      </c>
      <c r="C775" s="1">
        <v>83.6</v>
      </c>
      <c r="D775" s="1">
        <v>0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0.4</v>
      </c>
      <c r="L775" s="1">
        <v>0</v>
      </c>
      <c r="M775" s="1">
        <v>0</v>
      </c>
      <c r="N775" s="1">
        <v>0</v>
      </c>
      <c r="O775" s="1">
        <v>0</v>
      </c>
      <c r="P775" s="1">
        <v>15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3">
        <v>288</v>
      </c>
      <c r="AI775" s="3">
        <v>405</v>
      </c>
      <c r="AJ775" s="3">
        <v>2.9</v>
      </c>
    </row>
    <row r="776" spans="1:36" s="1" customFormat="1" x14ac:dyDescent="0.2">
      <c r="A776" s="1" t="s">
        <v>650</v>
      </c>
      <c r="B776" s="1" t="s">
        <v>625</v>
      </c>
      <c r="C776" s="1">
        <v>80.900000000000006</v>
      </c>
      <c r="D776" s="1">
        <v>0</v>
      </c>
      <c r="E776" s="1">
        <v>0</v>
      </c>
      <c r="F776" s="1">
        <v>0</v>
      </c>
      <c r="G776" s="1">
        <v>1.1000000000000001</v>
      </c>
      <c r="H776" s="1">
        <v>0</v>
      </c>
      <c r="I776" s="1">
        <v>0</v>
      </c>
      <c r="J776" s="1">
        <v>0</v>
      </c>
      <c r="K776" s="1">
        <v>0.6</v>
      </c>
      <c r="L776" s="1">
        <v>0</v>
      </c>
      <c r="M776" s="1">
        <v>0</v>
      </c>
      <c r="N776" s="1">
        <v>0</v>
      </c>
      <c r="O776" s="1">
        <v>0</v>
      </c>
      <c r="P776" s="1">
        <v>17.399999999999999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3">
        <v>313</v>
      </c>
      <c r="AI776" s="3">
        <v>410</v>
      </c>
      <c r="AJ776" s="3">
        <v>1.9</v>
      </c>
    </row>
    <row r="777" spans="1:36" s="1" customFormat="1" x14ac:dyDescent="0.2">
      <c r="A777" s="1" t="s">
        <v>651</v>
      </c>
      <c r="B777" s="1" t="s">
        <v>625</v>
      </c>
      <c r="C777" s="1">
        <v>80.3</v>
      </c>
      <c r="D777" s="1">
        <v>0</v>
      </c>
      <c r="E777" s="1">
        <v>0</v>
      </c>
      <c r="F777" s="1">
        <v>0</v>
      </c>
      <c r="G777" s="1">
        <v>1.7</v>
      </c>
      <c r="H777" s="1">
        <v>0</v>
      </c>
      <c r="I777" s="1">
        <v>0</v>
      </c>
      <c r="J777" s="1">
        <v>0</v>
      </c>
      <c r="K777" s="1">
        <v>0.6</v>
      </c>
      <c r="L777" s="1">
        <v>0</v>
      </c>
      <c r="M777" s="1">
        <v>0</v>
      </c>
      <c r="N777" s="1">
        <v>0</v>
      </c>
      <c r="O777" s="1">
        <v>0</v>
      </c>
      <c r="P777" s="1">
        <v>17.399999999999999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3">
        <v>278</v>
      </c>
      <c r="AI777" s="3">
        <v>380</v>
      </c>
      <c r="AJ777" s="3">
        <v>2.5</v>
      </c>
    </row>
    <row r="778" spans="1:36" s="1" customFormat="1" x14ac:dyDescent="0.2">
      <c r="A778" s="1" t="s">
        <v>654</v>
      </c>
      <c r="B778" s="1" t="s">
        <v>485</v>
      </c>
      <c r="C778" s="1">
        <v>85.5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0.5</v>
      </c>
      <c r="L778" s="1">
        <v>0</v>
      </c>
      <c r="M778" s="1">
        <v>0</v>
      </c>
      <c r="N778" s="1">
        <v>0</v>
      </c>
      <c r="O778" s="1">
        <v>0</v>
      </c>
      <c r="P778" s="1">
        <v>14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3">
        <v>305</v>
      </c>
      <c r="AI778" s="3">
        <v>446</v>
      </c>
      <c r="AJ778" s="3">
        <v>7</v>
      </c>
    </row>
    <row r="779" spans="1:36" s="1" customFormat="1" x14ac:dyDescent="0.2">
      <c r="A779" s="1" t="s">
        <v>654</v>
      </c>
      <c r="B779" s="1" t="s">
        <v>485</v>
      </c>
      <c r="C779" s="1">
        <v>85.5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0.5</v>
      </c>
      <c r="L779" s="1">
        <v>0</v>
      </c>
      <c r="M779" s="1">
        <v>0</v>
      </c>
      <c r="N779" s="1">
        <v>0</v>
      </c>
      <c r="O779" s="1">
        <v>0</v>
      </c>
      <c r="P779" s="1">
        <v>14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3">
        <v>445</v>
      </c>
      <c r="AI779" s="3">
        <v>482</v>
      </c>
      <c r="AJ779" s="3">
        <v>2</v>
      </c>
    </row>
    <row r="780" spans="1:36" s="1" customFormat="1" x14ac:dyDescent="0.2">
      <c r="A780" s="1" t="s">
        <v>655</v>
      </c>
      <c r="B780" s="1" t="s">
        <v>485</v>
      </c>
      <c r="C780" s="1">
        <v>88.6</v>
      </c>
      <c r="D780" s="1">
        <v>2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0.4</v>
      </c>
      <c r="L780" s="1">
        <v>0</v>
      </c>
      <c r="M780" s="1">
        <v>0</v>
      </c>
      <c r="N780" s="1">
        <v>0</v>
      </c>
      <c r="O780" s="1">
        <v>3</v>
      </c>
      <c r="P780" s="1">
        <v>6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3">
        <v>359</v>
      </c>
      <c r="AI780" s="3">
        <v>435</v>
      </c>
      <c r="AJ780" s="3">
        <v>5</v>
      </c>
    </row>
    <row r="781" spans="1:36" s="1" customFormat="1" x14ac:dyDescent="0.2">
      <c r="A781" s="1" t="s">
        <v>636</v>
      </c>
      <c r="B781" s="1" t="s">
        <v>485</v>
      </c>
      <c r="C781" s="1">
        <v>86.5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0.5</v>
      </c>
      <c r="L781" s="1">
        <v>0</v>
      </c>
      <c r="M781" s="1">
        <v>0</v>
      </c>
      <c r="N781" s="1">
        <v>0</v>
      </c>
      <c r="O781" s="1">
        <v>4</v>
      </c>
      <c r="P781" s="1">
        <v>9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3">
        <v>400</v>
      </c>
      <c r="AI781" s="3">
        <v>508</v>
      </c>
      <c r="AJ781" s="3">
        <v>8</v>
      </c>
    </row>
    <row r="782" spans="1:36" s="1" customFormat="1" x14ac:dyDescent="0.2">
      <c r="A782" s="1" t="s">
        <v>656</v>
      </c>
      <c r="B782" s="1" t="s">
        <v>485</v>
      </c>
      <c r="C782" s="1">
        <v>84.6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0.4</v>
      </c>
      <c r="L782" s="1">
        <v>0</v>
      </c>
      <c r="M782" s="1">
        <v>0</v>
      </c>
      <c r="N782" s="1">
        <v>0</v>
      </c>
      <c r="O782" s="1">
        <v>3</v>
      </c>
      <c r="P782" s="1">
        <v>12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3">
        <v>342.8</v>
      </c>
      <c r="AI782" s="3">
        <v>457.6</v>
      </c>
      <c r="AJ782" s="3">
        <v>3.8</v>
      </c>
    </row>
    <row r="783" spans="1:36" s="1" customFormat="1" x14ac:dyDescent="0.2">
      <c r="A783" s="1" t="s">
        <v>657</v>
      </c>
      <c r="B783" s="1" t="s">
        <v>485</v>
      </c>
      <c r="C783" s="1">
        <v>84.4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0.6</v>
      </c>
      <c r="L783" s="1">
        <v>0</v>
      </c>
      <c r="M783" s="1">
        <v>0</v>
      </c>
      <c r="N783" s="1">
        <v>0</v>
      </c>
      <c r="O783" s="1">
        <v>3</v>
      </c>
      <c r="P783" s="1">
        <v>12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3">
        <v>453</v>
      </c>
      <c r="AI783" s="3">
        <v>510</v>
      </c>
      <c r="AJ783" s="3">
        <v>4</v>
      </c>
    </row>
    <row r="784" spans="1:36" s="1" customFormat="1" x14ac:dyDescent="0.2">
      <c r="A784" s="1" t="s">
        <v>658</v>
      </c>
      <c r="B784" s="1" t="s">
        <v>485</v>
      </c>
      <c r="C784" s="1">
        <v>83.1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0.3</v>
      </c>
      <c r="L784" s="1">
        <v>0</v>
      </c>
      <c r="M784" s="1">
        <v>0</v>
      </c>
      <c r="N784" s="1">
        <v>0</v>
      </c>
      <c r="O784" s="1">
        <v>4.9000000000000004</v>
      </c>
      <c r="P784" s="1">
        <v>11.7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3">
        <v>500</v>
      </c>
      <c r="AI784" s="3">
        <v>539</v>
      </c>
      <c r="AJ784" s="3">
        <v>2.7</v>
      </c>
    </row>
    <row r="785" spans="1:36" s="1" customFormat="1" x14ac:dyDescent="0.2">
      <c r="A785" s="1" t="s">
        <v>659</v>
      </c>
      <c r="B785" s="1" t="s">
        <v>485</v>
      </c>
      <c r="C785" s="1">
        <v>90.5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0.5</v>
      </c>
      <c r="L785" s="1">
        <v>0</v>
      </c>
      <c r="M785" s="1">
        <v>0</v>
      </c>
      <c r="N785" s="1">
        <v>0</v>
      </c>
      <c r="O785" s="1">
        <v>0</v>
      </c>
      <c r="P785" s="1">
        <v>8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1</v>
      </c>
      <c r="AF785" s="1">
        <v>0</v>
      </c>
      <c r="AG785" s="1">
        <v>0</v>
      </c>
      <c r="AH785" s="3">
        <v>518</v>
      </c>
      <c r="AI785" s="3">
        <v>560</v>
      </c>
      <c r="AJ785" s="3">
        <v>4.8</v>
      </c>
    </row>
    <row r="786" spans="1:36" s="1" customFormat="1" x14ac:dyDescent="0.2">
      <c r="A786" s="1" t="s">
        <v>642</v>
      </c>
      <c r="B786" s="1" t="s">
        <v>485</v>
      </c>
      <c r="C786" s="1">
        <v>87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0.4</v>
      </c>
      <c r="L786" s="1">
        <v>1.8</v>
      </c>
      <c r="M786" s="1">
        <v>0</v>
      </c>
      <c r="N786" s="1">
        <v>0</v>
      </c>
      <c r="O786" s="1">
        <v>2.2999999999999998</v>
      </c>
      <c r="P786" s="1">
        <v>8.5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3">
        <v>575</v>
      </c>
      <c r="AI786" s="3">
        <v>600</v>
      </c>
      <c r="AJ786" s="3">
        <v>5.2</v>
      </c>
    </row>
    <row r="787" spans="1:36" s="1" customFormat="1" x14ac:dyDescent="0.2">
      <c r="A787" s="1" t="s">
        <v>660</v>
      </c>
      <c r="B787" s="1" t="s">
        <v>485</v>
      </c>
      <c r="C787" s="1">
        <v>88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11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3">
        <v>235</v>
      </c>
      <c r="AI787" s="3">
        <v>416</v>
      </c>
      <c r="AJ787" s="3">
        <v>7</v>
      </c>
    </row>
    <row r="788" spans="1:36" s="1" customFormat="1" x14ac:dyDescent="0.2">
      <c r="A788" s="1" t="s">
        <v>661</v>
      </c>
      <c r="B788" s="1" t="s">
        <v>485</v>
      </c>
      <c r="C788" s="1">
        <v>83.6</v>
      </c>
      <c r="D788" s="1">
        <v>0</v>
      </c>
      <c r="E788" s="1">
        <v>0</v>
      </c>
      <c r="F788" s="1">
        <v>0</v>
      </c>
      <c r="G788" s="1">
        <v>1</v>
      </c>
      <c r="H788" s="1">
        <v>0</v>
      </c>
      <c r="I788" s="1">
        <v>0</v>
      </c>
      <c r="J788" s="1">
        <v>0</v>
      </c>
      <c r="K788" s="1">
        <v>0.4</v>
      </c>
      <c r="L788" s="1">
        <v>0</v>
      </c>
      <c r="M788" s="1">
        <v>0</v>
      </c>
      <c r="N788" s="1">
        <v>0</v>
      </c>
      <c r="O788" s="1">
        <v>0</v>
      </c>
      <c r="P788" s="1">
        <v>15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3">
        <v>338</v>
      </c>
      <c r="AI788" s="3">
        <v>420</v>
      </c>
      <c r="AJ788" s="3">
        <v>2.6</v>
      </c>
    </row>
    <row r="789" spans="1:36" s="1" customFormat="1" x14ac:dyDescent="0.2">
      <c r="A789" s="1" t="s">
        <v>661</v>
      </c>
      <c r="B789" s="1" t="s">
        <v>485</v>
      </c>
      <c r="C789" s="1">
        <v>83.6</v>
      </c>
      <c r="D789" s="1">
        <v>0</v>
      </c>
      <c r="E789" s="1">
        <v>0</v>
      </c>
      <c r="F789" s="1">
        <v>0</v>
      </c>
      <c r="G789" s="1">
        <v>1</v>
      </c>
      <c r="H789" s="1">
        <v>0</v>
      </c>
      <c r="I789" s="1">
        <v>0</v>
      </c>
      <c r="J789" s="1">
        <v>0</v>
      </c>
      <c r="K789" s="1">
        <v>0.4</v>
      </c>
      <c r="L789" s="1">
        <v>0</v>
      </c>
      <c r="M789" s="1">
        <v>0</v>
      </c>
      <c r="N789" s="1">
        <v>0</v>
      </c>
      <c r="O789" s="1">
        <v>0</v>
      </c>
      <c r="P789" s="1">
        <v>15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3">
        <v>380</v>
      </c>
      <c r="AI789" s="3">
        <v>461</v>
      </c>
      <c r="AJ789" s="3">
        <v>2.7</v>
      </c>
    </row>
    <row r="790" spans="1:36" s="1" customFormat="1" x14ac:dyDescent="0.2">
      <c r="A790" s="1" t="s">
        <v>661</v>
      </c>
      <c r="B790" s="1" t="s">
        <v>485</v>
      </c>
      <c r="C790" s="1">
        <v>83.6</v>
      </c>
      <c r="D790" s="1">
        <v>0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0.4</v>
      </c>
      <c r="L790" s="1">
        <v>0</v>
      </c>
      <c r="M790" s="1">
        <v>0</v>
      </c>
      <c r="N790" s="1">
        <v>0</v>
      </c>
      <c r="O790" s="1">
        <v>0</v>
      </c>
      <c r="P790" s="1">
        <v>15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3">
        <v>359</v>
      </c>
      <c r="AI790" s="3">
        <v>423</v>
      </c>
      <c r="AJ790" s="3">
        <v>10</v>
      </c>
    </row>
    <row r="791" spans="1:36" s="1" customFormat="1" x14ac:dyDescent="0.2">
      <c r="A791" s="1" t="s">
        <v>661</v>
      </c>
      <c r="B791" s="1" t="s">
        <v>485</v>
      </c>
      <c r="C791" s="1">
        <v>83.6</v>
      </c>
      <c r="D791" s="1">
        <v>0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0.4</v>
      </c>
      <c r="L791" s="1">
        <v>0</v>
      </c>
      <c r="M791" s="1">
        <v>0</v>
      </c>
      <c r="N791" s="1">
        <v>0</v>
      </c>
      <c r="O791" s="1">
        <v>0</v>
      </c>
      <c r="P791" s="1">
        <v>15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3">
        <v>465</v>
      </c>
      <c r="AI791" s="3">
        <v>524</v>
      </c>
      <c r="AJ791" s="3">
        <v>4</v>
      </c>
    </row>
    <row r="792" spans="1:36" s="1" customFormat="1" x14ac:dyDescent="0.2">
      <c r="A792" s="1" t="s">
        <v>662</v>
      </c>
      <c r="B792" s="1" t="s">
        <v>630</v>
      </c>
      <c r="C792" s="1">
        <v>80.7</v>
      </c>
      <c r="D792" s="1">
        <v>0</v>
      </c>
      <c r="E792" s="1">
        <v>0</v>
      </c>
      <c r="F792" s="1">
        <v>0</v>
      </c>
      <c r="G792" s="1">
        <v>2.2999999999999998</v>
      </c>
      <c r="H792" s="1">
        <v>0</v>
      </c>
      <c r="I792" s="1">
        <v>0</v>
      </c>
      <c r="J792" s="1">
        <v>0</v>
      </c>
      <c r="K792" s="1">
        <v>0.6</v>
      </c>
      <c r="L792" s="1">
        <v>0</v>
      </c>
      <c r="M792" s="1">
        <v>0</v>
      </c>
      <c r="N792" s="1">
        <v>0</v>
      </c>
      <c r="O792" s="1">
        <v>0</v>
      </c>
      <c r="P792" s="1">
        <v>16.399999999999999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3">
        <v>330</v>
      </c>
      <c r="AI792" s="3">
        <v>418</v>
      </c>
      <c r="AJ792" s="3">
        <v>7.5</v>
      </c>
    </row>
    <row r="793" spans="1:36" s="1" customFormat="1" x14ac:dyDescent="0.2">
      <c r="A793" s="1" t="s">
        <v>663</v>
      </c>
      <c r="B793" s="1" t="s">
        <v>485</v>
      </c>
      <c r="C793" s="1">
        <v>87.5</v>
      </c>
      <c r="D793" s="1">
        <v>1</v>
      </c>
      <c r="E793" s="1">
        <v>0</v>
      </c>
      <c r="F793" s="1">
        <v>0</v>
      </c>
      <c r="G793" s="1">
        <v>1</v>
      </c>
      <c r="H793" s="1">
        <v>0</v>
      </c>
      <c r="I793" s="1">
        <v>0</v>
      </c>
      <c r="J793" s="1">
        <v>0</v>
      </c>
      <c r="K793" s="1">
        <v>0.5</v>
      </c>
      <c r="L793" s="1">
        <v>0</v>
      </c>
      <c r="M793" s="1">
        <v>0</v>
      </c>
      <c r="N793" s="1">
        <v>0</v>
      </c>
      <c r="O793" s="1">
        <v>3</v>
      </c>
      <c r="P793" s="1">
        <v>7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3">
        <v>331</v>
      </c>
      <c r="AI793" s="3">
        <v>400</v>
      </c>
      <c r="AJ793" s="3">
        <v>15</v>
      </c>
    </row>
    <row r="794" spans="1:36" s="1" customFormat="1" x14ac:dyDescent="0.2">
      <c r="A794" s="1" t="s">
        <v>664</v>
      </c>
      <c r="B794" s="1" t="s">
        <v>652</v>
      </c>
      <c r="C794" s="1">
        <v>86.6</v>
      </c>
      <c r="D794" s="1">
        <v>0</v>
      </c>
      <c r="E794" s="1">
        <v>0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0.4</v>
      </c>
      <c r="L794" s="1">
        <v>0</v>
      </c>
      <c r="M794" s="1">
        <v>0</v>
      </c>
      <c r="N794" s="1">
        <v>0</v>
      </c>
      <c r="O794" s="1">
        <v>3.8</v>
      </c>
      <c r="P794" s="1">
        <v>8.1999999999999993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3">
        <v>318</v>
      </c>
      <c r="AI794" s="3">
        <v>403</v>
      </c>
      <c r="AJ794" s="3">
        <v>13.7</v>
      </c>
    </row>
    <row r="795" spans="1:36" s="1" customFormat="1" x14ac:dyDescent="0.2">
      <c r="A795" s="1" t="s">
        <v>664</v>
      </c>
      <c r="B795" s="1" t="s">
        <v>652</v>
      </c>
      <c r="C795" s="1">
        <v>86.6</v>
      </c>
      <c r="D795" s="1">
        <v>0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0.4</v>
      </c>
      <c r="L795" s="1">
        <v>0</v>
      </c>
      <c r="M795" s="1">
        <v>0</v>
      </c>
      <c r="N795" s="1">
        <v>0</v>
      </c>
      <c r="O795" s="1">
        <v>3.8</v>
      </c>
      <c r="P795" s="1">
        <v>8.1999999999999993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3">
        <v>426</v>
      </c>
      <c r="AI795" s="3">
        <v>517</v>
      </c>
      <c r="AJ795" s="3">
        <v>4.5</v>
      </c>
    </row>
    <row r="796" spans="1:36" s="1" customFormat="1" x14ac:dyDescent="0.2">
      <c r="A796" s="1" t="s">
        <v>664</v>
      </c>
      <c r="B796" s="1" t="s">
        <v>485</v>
      </c>
      <c r="C796" s="1">
        <v>86.6</v>
      </c>
      <c r="D796" s="1">
        <v>0</v>
      </c>
      <c r="E796" s="1">
        <v>0</v>
      </c>
      <c r="F796" s="1">
        <v>0</v>
      </c>
      <c r="G796" s="1">
        <v>1</v>
      </c>
      <c r="H796" s="1">
        <v>0</v>
      </c>
      <c r="I796" s="1">
        <v>0</v>
      </c>
      <c r="J796" s="1">
        <v>0</v>
      </c>
      <c r="K796" s="1">
        <v>0.4</v>
      </c>
      <c r="L796" s="1">
        <v>0</v>
      </c>
      <c r="M796" s="1">
        <v>0</v>
      </c>
      <c r="N796" s="1">
        <v>0</v>
      </c>
      <c r="O796" s="1">
        <v>3.8</v>
      </c>
      <c r="P796" s="1">
        <v>8.1999999999999993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3">
        <v>316</v>
      </c>
      <c r="AI796" s="3">
        <v>415</v>
      </c>
      <c r="AJ796" s="3">
        <v>9.1</v>
      </c>
    </row>
    <row r="797" spans="1:36" s="1" customFormat="1" x14ac:dyDescent="0.2">
      <c r="A797" s="1" t="s">
        <v>664</v>
      </c>
      <c r="B797" s="1" t="s">
        <v>626</v>
      </c>
      <c r="C797" s="1">
        <v>86.6</v>
      </c>
      <c r="D797" s="1">
        <v>0</v>
      </c>
      <c r="E797" s="1">
        <v>0</v>
      </c>
      <c r="F797" s="1">
        <v>0</v>
      </c>
      <c r="G797" s="1">
        <v>1</v>
      </c>
      <c r="H797" s="1">
        <v>0</v>
      </c>
      <c r="I797" s="1">
        <v>0</v>
      </c>
      <c r="J797" s="1">
        <v>0</v>
      </c>
      <c r="K797" s="1">
        <v>0.4</v>
      </c>
      <c r="L797" s="1">
        <v>0</v>
      </c>
      <c r="M797" s="1">
        <v>0</v>
      </c>
      <c r="N797" s="1">
        <v>0</v>
      </c>
      <c r="O797" s="1">
        <v>3.8</v>
      </c>
      <c r="P797" s="1">
        <v>8.1999999999999993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3">
        <v>416</v>
      </c>
      <c r="AI797" s="3">
        <v>505</v>
      </c>
      <c r="AJ797" s="3">
        <v>12.8</v>
      </c>
    </row>
    <row r="798" spans="1:36" s="1" customFormat="1" x14ac:dyDescent="0.2">
      <c r="A798" s="1" t="s">
        <v>664</v>
      </c>
      <c r="B798" s="1" t="s">
        <v>626</v>
      </c>
      <c r="C798" s="1">
        <v>86.6</v>
      </c>
      <c r="D798" s="1">
        <v>0</v>
      </c>
      <c r="E798" s="1">
        <v>0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0.4</v>
      </c>
      <c r="L798" s="1">
        <v>0</v>
      </c>
      <c r="M798" s="1">
        <v>0</v>
      </c>
      <c r="N798" s="1">
        <v>0</v>
      </c>
      <c r="O798" s="1">
        <v>3.8</v>
      </c>
      <c r="P798" s="1">
        <v>8.1999999999999993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3">
        <v>379</v>
      </c>
      <c r="AI798" s="3">
        <v>442</v>
      </c>
      <c r="AJ798" s="3">
        <v>14.7</v>
      </c>
    </row>
    <row r="799" spans="1:36" s="1" customFormat="1" x14ac:dyDescent="0.2">
      <c r="A799" s="1" t="s">
        <v>664</v>
      </c>
      <c r="B799" s="1" t="s">
        <v>626</v>
      </c>
      <c r="C799" s="1">
        <v>86.6</v>
      </c>
      <c r="D799" s="1">
        <v>0</v>
      </c>
      <c r="E799" s="1">
        <v>0</v>
      </c>
      <c r="F799" s="1">
        <v>0</v>
      </c>
      <c r="G799" s="1">
        <v>1</v>
      </c>
      <c r="H799" s="1">
        <v>0</v>
      </c>
      <c r="I799" s="1">
        <v>0</v>
      </c>
      <c r="J799" s="1">
        <v>0</v>
      </c>
      <c r="K799" s="1">
        <v>0.4</v>
      </c>
      <c r="L799" s="1">
        <v>0</v>
      </c>
      <c r="M799" s="1">
        <v>0</v>
      </c>
      <c r="N799" s="1">
        <v>0</v>
      </c>
      <c r="O799" s="1">
        <v>3.8</v>
      </c>
      <c r="P799" s="1">
        <v>8.1999999999999993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3">
        <v>462</v>
      </c>
      <c r="AI799" s="3">
        <v>520</v>
      </c>
      <c r="AJ799" s="3">
        <v>10.6</v>
      </c>
    </row>
    <row r="800" spans="1:36" s="1" customFormat="1" x14ac:dyDescent="0.2">
      <c r="A800" s="1" t="s">
        <v>664</v>
      </c>
      <c r="B800" s="1" t="s">
        <v>626</v>
      </c>
      <c r="C800" s="1">
        <v>86.6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0.4</v>
      </c>
      <c r="L800" s="1">
        <v>0</v>
      </c>
      <c r="M800" s="1">
        <v>0</v>
      </c>
      <c r="N800" s="1">
        <v>0</v>
      </c>
      <c r="O800" s="1">
        <v>3.8</v>
      </c>
      <c r="P800" s="1">
        <v>8.1999999999999993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3">
        <v>395</v>
      </c>
      <c r="AI800" s="3">
        <v>470</v>
      </c>
      <c r="AJ800" s="3">
        <v>8</v>
      </c>
    </row>
    <row r="801" spans="1:36" s="1" customFormat="1" x14ac:dyDescent="0.2">
      <c r="A801" s="1" t="s">
        <v>665</v>
      </c>
      <c r="B801" s="1" t="s">
        <v>626</v>
      </c>
      <c r="C801" s="1">
        <v>84</v>
      </c>
      <c r="D801" s="1">
        <v>0</v>
      </c>
      <c r="E801" s="1">
        <v>0</v>
      </c>
      <c r="F801" s="1">
        <v>0</v>
      </c>
      <c r="G801" s="1">
        <v>1.7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0.6</v>
      </c>
      <c r="O801" s="1">
        <v>5.3</v>
      </c>
      <c r="P801" s="1">
        <v>8.4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3">
        <v>322</v>
      </c>
      <c r="AI801" s="3">
        <v>500</v>
      </c>
      <c r="AJ801" s="3">
        <v>10</v>
      </c>
    </row>
    <row r="802" spans="1:36" s="1" customFormat="1" x14ac:dyDescent="0.2">
      <c r="A802" s="1" t="s">
        <v>668</v>
      </c>
      <c r="B802" s="1" t="s">
        <v>652</v>
      </c>
      <c r="C802" s="1">
        <v>87.2</v>
      </c>
      <c r="D802" s="1">
        <v>0</v>
      </c>
      <c r="E802" s="1">
        <v>0</v>
      </c>
      <c r="F802" s="1">
        <v>0</v>
      </c>
      <c r="G802" s="1">
        <v>0.5</v>
      </c>
      <c r="H802" s="1">
        <v>0</v>
      </c>
      <c r="I802" s="1">
        <v>0</v>
      </c>
      <c r="J802" s="1">
        <v>0</v>
      </c>
      <c r="K802" s="1">
        <v>0.3</v>
      </c>
      <c r="L802" s="1">
        <v>0</v>
      </c>
      <c r="M802" s="1">
        <v>0</v>
      </c>
      <c r="N802" s="1">
        <v>0</v>
      </c>
      <c r="O802" s="1">
        <v>2</v>
      </c>
      <c r="P802" s="1">
        <v>10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3">
        <v>273</v>
      </c>
      <c r="AI802" s="3">
        <v>406</v>
      </c>
      <c r="AJ802" s="3">
        <v>5.9</v>
      </c>
    </row>
    <row r="803" spans="1:36" s="1" customFormat="1" x14ac:dyDescent="0.2">
      <c r="A803" s="1" t="s">
        <v>666</v>
      </c>
      <c r="B803" s="1" t="s">
        <v>626</v>
      </c>
      <c r="C803" s="1">
        <v>85.5</v>
      </c>
      <c r="D803" s="1">
        <v>0</v>
      </c>
      <c r="E803" s="1">
        <v>0</v>
      </c>
      <c r="F803" s="1">
        <v>0</v>
      </c>
      <c r="G803" s="1">
        <v>1</v>
      </c>
      <c r="H803" s="1">
        <v>0</v>
      </c>
      <c r="I803" s="1">
        <v>0</v>
      </c>
      <c r="J803" s="1">
        <v>0</v>
      </c>
      <c r="K803" s="1">
        <v>0.5</v>
      </c>
      <c r="L803" s="1">
        <v>0</v>
      </c>
      <c r="M803" s="1">
        <v>0</v>
      </c>
      <c r="N803" s="1">
        <v>0</v>
      </c>
      <c r="O803" s="1">
        <v>3</v>
      </c>
      <c r="P803" s="1">
        <v>10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3">
        <v>339</v>
      </c>
      <c r="AI803" s="3">
        <v>428</v>
      </c>
      <c r="AJ803" s="3">
        <v>4</v>
      </c>
    </row>
    <row r="804" spans="1:36" s="1" customFormat="1" x14ac:dyDescent="0.2">
      <c r="A804" s="1" t="s">
        <v>667</v>
      </c>
      <c r="B804" s="1" t="s">
        <v>626</v>
      </c>
      <c r="C804" s="1">
        <v>81.8</v>
      </c>
      <c r="D804" s="1">
        <v>0</v>
      </c>
      <c r="E804" s="1">
        <v>0</v>
      </c>
      <c r="F804" s="1">
        <v>0</v>
      </c>
      <c r="G804" s="1">
        <v>1.6</v>
      </c>
      <c r="H804" s="1">
        <v>0</v>
      </c>
      <c r="I804" s="1">
        <v>0</v>
      </c>
      <c r="J804" s="1">
        <v>0</v>
      </c>
      <c r="K804" s="1">
        <v>0.6</v>
      </c>
      <c r="L804" s="1">
        <v>0</v>
      </c>
      <c r="M804" s="1">
        <v>0</v>
      </c>
      <c r="N804" s="1">
        <v>0</v>
      </c>
      <c r="O804" s="1">
        <v>6</v>
      </c>
      <c r="P804" s="1">
        <v>10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3">
        <v>419</v>
      </c>
      <c r="AI804" s="3">
        <v>461</v>
      </c>
      <c r="AJ804" s="3">
        <v>3.6</v>
      </c>
    </row>
    <row r="805" spans="1:36" s="1" customFormat="1" x14ac:dyDescent="0.2">
      <c r="A805" s="1" t="s">
        <v>669</v>
      </c>
      <c r="B805" s="1" t="s">
        <v>626</v>
      </c>
      <c r="C805" s="1">
        <v>81.8</v>
      </c>
      <c r="D805" s="1">
        <v>0</v>
      </c>
      <c r="E805" s="1">
        <v>0</v>
      </c>
      <c r="F805" s="1">
        <v>0</v>
      </c>
      <c r="G805" s="1">
        <v>1.6</v>
      </c>
      <c r="H805" s="1">
        <v>0</v>
      </c>
      <c r="I805" s="1">
        <v>0</v>
      </c>
      <c r="J805" s="1">
        <v>0</v>
      </c>
      <c r="K805" s="1">
        <v>0.6</v>
      </c>
      <c r="L805" s="1">
        <v>0</v>
      </c>
      <c r="M805" s="1">
        <v>0</v>
      </c>
      <c r="N805" s="1">
        <v>0</v>
      </c>
      <c r="O805" s="1">
        <v>6</v>
      </c>
      <c r="P805" s="1">
        <v>10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3">
        <v>473</v>
      </c>
      <c r="AI805" s="3">
        <v>542</v>
      </c>
      <c r="AJ805" s="3">
        <v>8</v>
      </c>
    </row>
    <row r="806" spans="1:36" s="1" customFormat="1" x14ac:dyDescent="0.2">
      <c r="A806" s="1" t="s">
        <v>670</v>
      </c>
      <c r="B806" s="1" t="s">
        <v>626</v>
      </c>
      <c r="C806" s="1">
        <v>81.400000000000006</v>
      </c>
      <c r="D806" s="1">
        <v>0</v>
      </c>
      <c r="E806" s="1">
        <v>0</v>
      </c>
      <c r="F806" s="1">
        <v>0</v>
      </c>
      <c r="G806" s="1">
        <v>2</v>
      </c>
      <c r="H806" s="1">
        <v>0</v>
      </c>
      <c r="I806" s="1">
        <v>0</v>
      </c>
      <c r="J806" s="1">
        <v>0</v>
      </c>
      <c r="K806" s="1">
        <v>0.6</v>
      </c>
      <c r="L806" s="1">
        <v>0</v>
      </c>
      <c r="M806" s="1">
        <v>0</v>
      </c>
      <c r="N806" s="1">
        <v>0</v>
      </c>
      <c r="O806" s="1">
        <v>6</v>
      </c>
      <c r="P806" s="1">
        <v>10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3">
        <v>360</v>
      </c>
      <c r="AI806" s="3">
        <v>432</v>
      </c>
      <c r="AJ806" s="3">
        <v>5</v>
      </c>
    </row>
    <row r="807" spans="1:36" s="1" customFormat="1" x14ac:dyDescent="0.2">
      <c r="A807" s="1" t="s">
        <v>671</v>
      </c>
      <c r="B807" s="1" t="s">
        <v>652</v>
      </c>
      <c r="C807" s="1">
        <v>82.8</v>
      </c>
      <c r="D807" s="1">
        <v>0</v>
      </c>
      <c r="E807" s="1">
        <v>0</v>
      </c>
      <c r="F807" s="1">
        <v>0</v>
      </c>
      <c r="G807" s="1">
        <v>1.7</v>
      </c>
      <c r="H807" s="1">
        <v>0</v>
      </c>
      <c r="I807" s="1">
        <v>0</v>
      </c>
      <c r="J807" s="1">
        <v>0</v>
      </c>
      <c r="K807" s="1">
        <v>0.5</v>
      </c>
      <c r="L807" s="1">
        <v>0</v>
      </c>
      <c r="M807" s="1">
        <v>0</v>
      </c>
      <c r="N807" s="1">
        <v>0</v>
      </c>
      <c r="O807" s="1">
        <v>4</v>
      </c>
      <c r="P807" s="1">
        <v>11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3">
        <v>365</v>
      </c>
      <c r="AI807" s="3">
        <v>460</v>
      </c>
      <c r="AJ807" s="3">
        <v>10</v>
      </c>
    </row>
    <row r="808" spans="1:36" s="1" customFormat="1" x14ac:dyDescent="0.2">
      <c r="A808" s="1" t="s">
        <v>672</v>
      </c>
      <c r="B808" s="1" t="s">
        <v>485</v>
      </c>
      <c r="C808" s="1">
        <v>81.5</v>
      </c>
      <c r="D808" s="1">
        <v>1</v>
      </c>
      <c r="E808" s="1">
        <v>0</v>
      </c>
      <c r="F808" s="1">
        <v>0</v>
      </c>
      <c r="G808" s="1">
        <v>1.5</v>
      </c>
      <c r="H808" s="1">
        <v>0</v>
      </c>
      <c r="I808" s="1">
        <v>0</v>
      </c>
      <c r="J808" s="1">
        <v>0</v>
      </c>
      <c r="K808" s="1">
        <v>0.5</v>
      </c>
      <c r="L808" s="1">
        <v>0</v>
      </c>
      <c r="M808" s="1">
        <v>0</v>
      </c>
      <c r="N808" s="1">
        <v>0</v>
      </c>
      <c r="O808" s="1">
        <v>4.5</v>
      </c>
      <c r="P808" s="1">
        <v>11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3">
        <v>502</v>
      </c>
      <c r="AI808" s="3">
        <v>547</v>
      </c>
      <c r="AJ808" s="3">
        <v>2.6</v>
      </c>
    </row>
    <row r="809" spans="1:36" s="1" customFormat="1" x14ac:dyDescent="0.2">
      <c r="A809" s="1" t="s">
        <v>673</v>
      </c>
      <c r="B809" s="1" t="s">
        <v>485</v>
      </c>
      <c r="C809" s="1">
        <v>82.1</v>
      </c>
      <c r="D809" s="1">
        <v>0</v>
      </c>
      <c r="E809" s="1">
        <v>0</v>
      </c>
      <c r="F809" s="1">
        <v>0</v>
      </c>
      <c r="G809" s="1">
        <v>1.5</v>
      </c>
      <c r="H809" s="1">
        <v>0</v>
      </c>
      <c r="I809" s="1">
        <v>0</v>
      </c>
      <c r="J809" s="1">
        <v>0</v>
      </c>
      <c r="K809" s="1">
        <v>0.4</v>
      </c>
      <c r="L809" s="1">
        <v>0</v>
      </c>
      <c r="M809" s="1">
        <v>0</v>
      </c>
      <c r="N809" s="1">
        <v>0</v>
      </c>
      <c r="O809" s="1">
        <v>4.5</v>
      </c>
      <c r="P809" s="1">
        <v>11.5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3">
        <v>387</v>
      </c>
      <c r="AI809" s="3">
        <v>453</v>
      </c>
      <c r="AJ809" s="3">
        <v>8.3000000000000007</v>
      </c>
    </row>
    <row r="810" spans="1:36" s="1" customFormat="1" x14ac:dyDescent="0.2">
      <c r="A810" s="1" t="s">
        <v>674</v>
      </c>
      <c r="B810" s="1" t="s">
        <v>485</v>
      </c>
      <c r="C810" s="1">
        <v>84.4</v>
      </c>
      <c r="D810" s="1">
        <v>0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0.6</v>
      </c>
      <c r="L810" s="1">
        <v>0</v>
      </c>
      <c r="M810" s="1">
        <v>0</v>
      </c>
      <c r="N810" s="1">
        <v>0</v>
      </c>
      <c r="O810" s="1">
        <v>0</v>
      </c>
      <c r="P810" s="1">
        <v>12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2</v>
      </c>
      <c r="AF810" s="1">
        <v>0</v>
      </c>
      <c r="AG810" s="1">
        <v>0</v>
      </c>
      <c r="AH810" s="3">
        <v>374</v>
      </c>
      <c r="AI810" s="3">
        <v>415</v>
      </c>
      <c r="AJ810" s="3">
        <v>3.6</v>
      </c>
    </row>
    <row r="811" spans="1:36" s="1" customFormat="1" x14ac:dyDescent="0.2">
      <c r="A811" s="1" t="s">
        <v>675</v>
      </c>
      <c r="B811" s="1" t="s">
        <v>485</v>
      </c>
      <c r="C811" s="1">
        <v>93.5</v>
      </c>
      <c r="D811" s="1">
        <v>0</v>
      </c>
      <c r="E811" s="1">
        <v>0</v>
      </c>
      <c r="F811" s="1">
        <v>0</v>
      </c>
      <c r="G811" s="1">
        <v>2</v>
      </c>
      <c r="H811" s="1">
        <v>0</v>
      </c>
      <c r="I811" s="1">
        <v>0.5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4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3">
        <v>376</v>
      </c>
      <c r="AI811" s="3">
        <v>416</v>
      </c>
      <c r="AJ811" s="3">
        <v>11</v>
      </c>
    </row>
    <row r="812" spans="1:36" s="1" customFormat="1" x14ac:dyDescent="0.2">
      <c r="A812" s="1" t="s">
        <v>676</v>
      </c>
      <c r="B812" s="1" t="s">
        <v>485</v>
      </c>
      <c r="C812" s="1">
        <v>89.4</v>
      </c>
      <c r="D812" s="1">
        <v>0</v>
      </c>
      <c r="E812" s="1">
        <v>0</v>
      </c>
      <c r="F812" s="1">
        <v>0</v>
      </c>
      <c r="G812" s="1">
        <v>5</v>
      </c>
      <c r="H812" s="1">
        <v>0</v>
      </c>
      <c r="I812" s="1">
        <v>0</v>
      </c>
      <c r="J812" s="1">
        <v>0</v>
      </c>
      <c r="K812" s="1">
        <v>0.6</v>
      </c>
      <c r="L812" s="1">
        <v>0</v>
      </c>
      <c r="M812" s="1">
        <v>0</v>
      </c>
      <c r="N812" s="1">
        <v>0</v>
      </c>
      <c r="O812" s="1">
        <v>5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3">
        <v>380</v>
      </c>
      <c r="AI812" s="3">
        <v>412</v>
      </c>
      <c r="AJ812" s="3">
        <v>12</v>
      </c>
    </row>
    <row r="813" spans="1:36" s="1" customFormat="1" x14ac:dyDescent="0.2">
      <c r="A813" s="1" t="s">
        <v>677</v>
      </c>
      <c r="B813" s="1" t="s">
        <v>485</v>
      </c>
      <c r="C813" s="1">
        <v>90.1</v>
      </c>
      <c r="D813" s="1">
        <v>0</v>
      </c>
      <c r="E813" s="1">
        <v>0</v>
      </c>
      <c r="F813" s="1">
        <v>0</v>
      </c>
      <c r="G813" s="1">
        <v>4.2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5.7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3">
        <v>390</v>
      </c>
      <c r="AI813" s="3">
        <v>420</v>
      </c>
      <c r="AJ813" s="3">
        <v>5</v>
      </c>
    </row>
    <row r="814" spans="1:36" s="1" customFormat="1" x14ac:dyDescent="0.2">
      <c r="A814" s="1" t="s">
        <v>678</v>
      </c>
      <c r="B814" s="1" t="s">
        <v>485</v>
      </c>
      <c r="C814" s="1">
        <v>90.7</v>
      </c>
      <c r="D814" s="1">
        <v>0</v>
      </c>
      <c r="E814" s="1">
        <v>0</v>
      </c>
      <c r="F814" s="1">
        <v>0</v>
      </c>
      <c r="G814" s="1">
        <v>2.5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6.8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3">
        <v>610</v>
      </c>
      <c r="AI814" s="3">
        <v>650</v>
      </c>
      <c r="AJ814" s="3">
        <v>5</v>
      </c>
    </row>
    <row r="815" spans="1:36" s="1" customFormat="1" x14ac:dyDescent="0.2">
      <c r="A815" s="1" t="s">
        <v>678</v>
      </c>
      <c r="B815" s="1" t="s">
        <v>485</v>
      </c>
      <c r="C815" s="1">
        <v>90.7</v>
      </c>
      <c r="D815" s="1">
        <v>0</v>
      </c>
      <c r="E815" s="1">
        <v>0</v>
      </c>
      <c r="F815" s="1">
        <v>0</v>
      </c>
      <c r="G815" s="1">
        <v>2.5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6.8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3">
        <v>400</v>
      </c>
      <c r="AI815" s="3">
        <v>450</v>
      </c>
      <c r="AJ815" s="3">
        <v>2.5</v>
      </c>
    </row>
    <row r="816" spans="1:36" s="1" customFormat="1" x14ac:dyDescent="0.2">
      <c r="A816" s="1" t="s">
        <v>678</v>
      </c>
      <c r="B816" s="1" t="s">
        <v>485</v>
      </c>
      <c r="C816" s="1">
        <v>90.7</v>
      </c>
      <c r="D816" s="1">
        <v>0</v>
      </c>
      <c r="E816" s="1">
        <v>0</v>
      </c>
      <c r="F816" s="1">
        <v>0</v>
      </c>
      <c r="G816" s="1">
        <v>2.5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6.8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3">
        <v>350</v>
      </c>
      <c r="AI816" s="3">
        <v>410</v>
      </c>
      <c r="AJ816" s="3">
        <v>6</v>
      </c>
    </row>
    <row r="817" spans="1:36" s="1" customFormat="1" x14ac:dyDescent="0.2">
      <c r="A817" s="1" t="s">
        <v>679</v>
      </c>
      <c r="B817" s="1" t="s">
        <v>485</v>
      </c>
      <c r="C817" s="1">
        <v>86</v>
      </c>
      <c r="D817" s="1">
        <v>0</v>
      </c>
      <c r="E817" s="1">
        <v>0</v>
      </c>
      <c r="F817" s="1">
        <v>0</v>
      </c>
      <c r="G817" s="1">
        <v>3.5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1</v>
      </c>
      <c r="O817" s="1">
        <v>9.5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3">
        <v>333</v>
      </c>
      <c r="AI817" s="3">
        <v>421</v>
      </c>
      <c r="AJ817" s="3">
        <v>5.8</v>
      </c>
    </row>
    <row r="818" spans="1:36" s="1" customFormat="1" x14ac:dyDescent="0.2">
      <c r="A818" s="1" t="s">
        <v>680</v>
      </c>
      <c r="B818" s="1" t="s">
        <v>485</v>
      </c>
      <c r="C818" s="1">
        <v>84.4</v>
      </c>
      <c r="D818" s="1">
        <v>0</v>
      </c>
      <c r="E818" s="1">
        <v>0</v>
      </c>
      <c r="F818" s="1">
        <v>0</v>
      </c>
      <c r="G818" s="1">
        <v>3</v>
      </c>
      <c r="H818" s="1">
        <v>0</v>
      </c>
      <c r="I818" s="1">
        <v>0</v>
      </c>
      <c r="J818" s="1">
        <v>0</v>
      </c>
      <c r="K818" s="1">
        <v>0.6</v>
      </c>
      <c r="L818" s="1">
        <v>0</v>
      </c>
      <c r="M818" s="1">
        <v>0</v>
      </c>
      <c r="N818" s="1">
        <v>0</v>
      </c>
      <c r="O818" s="1">
        <v>12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3">
        <v>350</v>
      </c>
      <c r="AI818" s="3">
        <v>440</v>
      </c>
      <c r="AJ818" s="3">
        <v>2</v>
      </c>
    </row>
    <row r="819" spans="1:36" s="1" customFormat="1" x14ac:dyDescent="0.2">
      <c r="A819" s="1" t="s">
        <v>683</v>
      </c>
      <c r="B819" s="1" t="s">
        <v>485</v>
      </c>
      <c r="C819" s="1">
        <v>82.4</v>
      </c>
      <c r="D819" s="1">
        <v>0</v>
      </c>
      <c r="E819" s="1">
        <v>0</v>
      </c>
      <c r="F819" s="1">
        <v>0</v>
      </c>
      <c r="G819" s="1">
        <v>5</v>
      </c>
      <c r="H819" s="1">
        <v>0</v>
      </c>
      <c r="I819" s="1">
        <v>0</v>
      </c>
      <c r="J819" s="1">
        <v>0</v>
      </c>
      <c r="K819" s="1">
        <v>0.6</v>
      </c>
      <c r="L819" s="1">
        <v>0</v>
      </c>
      <c r="M819" s="1">
        <v>0</v>
      </c>
      <c r="N819" s="1">
        <v>0</v>
      </c>
      <c r="O819" s="1">
        <v>12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3">
        <v>351</v>
      </c>
      <c r="AI819" s="3">
        <v>429</v>
      </c>
      <c r="AJ819" s="3">
        <v>2</v>
      </c>
    </row>
    <row r="820" spans="1:36" s="1" customFormat="1" x14ac:dyDescent="0.2">
      <c r="A820" s="1" t="s">
        <v>681</v>
      </c>
      <c r="B820" s="1" t="s">
        <v>652</v>
      </c>
      <c r="C820" s="1">
        <v>74.5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19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6.5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3">
        <v>460</v>
      </c>
      <c r="AI820" s="3">
        <v>526</v>
      </c>
      <c r="AJ820" s="3">
        <v>8</v>
      </c>
    </row>
    <row r="821" spans="1:36" s="1" customFormat="1" x14ac:dyDescent="0.2">
      <c r="A821" s="1" t="s">
        <v>682</v>
      </c>
      <c r="B821" s="1" t="s">
        <v>485</v>
      </c>
      <c r="C821" s="1">
        <v>87.1</v>
      </c>
      <c r="D821" s="1">
        <v>0</v>
      </c>
      <c r="E821" s="1">
        <v>0</v>
      </c>
      <c r="F821" s="1">
        <v>0</v>
      </c>
      <c r="G821" s="1">
        <v>1.5</v>
      </c>
      <c r="H821" s="1">
        <v>0</v>
      </c>
      <c r="I821" s="1">
        <v>0</v>
      </c>
      <c r="J821" s="1">
        <v>0</v>
      </c>
      <c r="K821" s="1">
        <v>0.4</v>
      </c>
      <c r="L821" s="1">
        <v>0</v>
      </c>
      <c r="M821" s="1">
        <v>0</v>
      </c>
      <c r="N821" s="1">
        <v>0</v>
      </c>
      <c r="O821" s="1">
        <v>7</v>
      </c>
      <c r="P821" s="1">
        <v>4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3">
        <v>320</v>
      </c>
      <c r="AI821" s="3">
        <v>418</v>
      </c>
      <c r="AJ821" s="3">
        <v>6.2</v>
      </c>
    </row>
    <row r="822" spans="1:36" s="1" customFormat="1" x14ac:dyDescent="0.2">
      <c r="A822" s="1" t="s">
        <v>684</v>
      </c>
      <c r="B822" s="1" t="s">
        <v>626</v>
      </c>
      <c r="C822" s="1">
        <v>92.9</v>
      </c>
      <c r="D822" s="1">
        <v>0</v>
      </c>
      <c r="E822" s="1">
        <v>1</v>
      </c>
      <c r="F822" s="1">
        <v>0</v>
      </c>
      <c r="G822" s="1">
        <v>5</v>
      </c>
      <c r="H822" s="1">
        <v>0</v>
      </c>
      <c r="I822" s="1">
        <v>0</v>
      </c>
      <c r="J822" s="1">
        <v>0</v>
      </c>
      <c r="K822" s="1">
        <v>0.6</v>
      </c>
      <c r="L822" s="1">
        <v>0</v>
      </c>
      <c r="M822" s="1">
        <v>0</v>
      </c>
      <c r="N822" s="1">
        <v>0</v>
      </c>
      <c r="O822" s="1">
        <v>0.5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3">
        <v>389</v>
      </c>
      <c r="AI822" s="3">
        <v>401</v>
      </c>
      <c r="AJ822" s="3">
        <v>5</v>
      </c>
    </row>
    <row r="823" spans="1:36" s="1" customFormat="1" x14ac:dyDescent="0.2">
      <c r="A823" s="1" t="s">
        <v>684</v>
      </c>
      <c r="B823" s="1" t="s">
        <v>626</v>
      </c>
      <c r="C823" s="1">
        <v>92.9</v>
      </c>
      <c r="D823" s="1">
        <v>0</v>
      </c>
      <c r="E823" s="1">
        <v>1</v>
      </c>
      <c r="F823" s="1">
        <v>0</v>
      </c>
      <c r="G823" s="1">
        <v>5</v>
      </c>
      <c r="H823" s="1">
        <v>0</v>
      </c>
      <c r="I823" s="1">
        <v>0</v>
      </c>
      <c r="J823" s="1">
        <v>0</v>
      </c>
      <c r="K823" s="1">
        <v>0.6</v>
      </c>
      <c r="L823" s="1">
        <v>0</v>
      </c>
      <c r="M823" s="1">
        <v>0</v>
      </c>
      <c r="N823" s="1">
        <v>0</v>
      </c>
      <c r="O823" s="1">
        <v>0.5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3">
        <v>407</v>
      </c>
      <c r="AI823" s="3">
        <v>421</v>
      </c>
      <c r="AJ823" s="3">
        <v>9</v>
      </c>
    </row>
    <row r="824" spans="1:36" s="1" customFormat="1" x14ac:dyDescent="0.2">
      <c r="A824" s="1" t="s">
        <v>685</v>
      </c>
      <c r="B824" s="1" t="s">
        <v>626</v>
      </c>
      <c r="C824" s="1">
        <v>90.9</v>
      </c>
      <c r="D824" s="1">
        <v>0</v>
      </c>
      <c r="E824" s="1">
        <v>0</v>
      </c>
      <c r="F824" s="1">
        <v>0</v>
      </c>
      <c r="G824" s="1">
        <v>5.0999999999999996</v>
      </c>
      <c r="H824" s="1">
        <v>0</v>
      </c>
      <c r="I824" s="1">
        <v>0</v>
      </c>
      <c r="J824" s="1">
        <v>0.4</v>
      </c>
      <c r="K824" s="1">
        <v>0.4</v>
      </c>
      <c r="L824" s="1">
        <v>0</v>
      </c>
      <c r="M824" s="1">
        <v>0</v>
      </c>
      <c r="N824" s="1">
        <v>0</v>
      </c>
      <c r="O824" s="1">
        <v>3.2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3">
        <v>373</v>
      </c>
      <c r="AI824" s="3">
        <v>403</v>
      </c>
      <c r="AJ824" s="3">
        <v>5.0999999999999996</v>
      </c>
    </row>
    <row r="825" spans="1:36" s="1" customFormat="1" x14ac:dyDescent="0.2">
      <c r="A825" s="1" t="s">
        <v>686</v>
      </c>
      <c r="B825" s="1" t="s">
        <v>626</v>
      </c>
      <c r="C825" s="1">
        <v>82.4</v>
      </c>
      <c r="D825" s="1">
        <v>0</v>
      </c>
      <c r="E825" s="1">
        <v>0</v>
      </c>
      <c r="F825" s="1">
        <v>0</v>
      </c>
      <c r="G825" s="1">
        <v>10.3</v>
      </c>
      <c r="H825" s="1">
        <v>0</v>
      </c>
      <c r="I825" s="1">
        <v>0</v>
      </c>
      <c r="J825" s="1">
        <v>0.5</v>
      </c>
      <c r="K825" s="1">
        <v>0.4</v>
      </c>
      <c r="L825" s="1">
        <v>0</v>
      </c>
      <c r="M825" s="1">
        <v>0</v>
      </c>
      <c r="N825" s="1">
        <v>0</v>
      </c>
      <c r="O825" s="1">
        <v>6.4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3">
        <v>447</v>
      </c>
      <c r="AI825" s="3">
        <v>466</v>
      </c>
      <c r="AJ825" s="3">
        <v>4.7</v>
      </c>
    </row>
    <row r="826" spans="1:36" s="1" customFormat="1" x14ac:dyDescent="0.2">
      <c r="A826" s="1" t="s">
        <v>687</v>
      </c>
      <c r="B826" s="1" t="s">
        <v>626</v>
      </c>
      <c r="C826" s="1">
        <v>90</v>
      </c>
      <c r="D826" s="1">
        <v>0</v>
      </c>
      <c r="E826" s="1">
        <v>0</v>
      </c>
      <c r="F826" s="1">
        <v>0</v>
      </c>
      <c r="G826" s="1">
        <v>8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2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3">
        <v>404</v>
      </c>
      <c r="AI826" s="3">
        <v>418</v>
      </c>
      <c r="AJ826" s="3">
        <v>12</v>
      </c>
    </row>
    <row r="827" spans="1:36" s="1" customFormat="1" x14ac:dyDescent="0.2">
      <c r="A827" s="1" t="s">
        <v>688</v>
      </c>
      <c r="B827" s="1" t="s">
        <v>626</v>
      </c>
      <c r="C827" s="1">
        <v>83</v>
      </c>
      <c r="D827" s="1">
        <v>0</v>
      </c>
      <c r="E827" s="1">
        <v>0</v>
      </c>
      <c r="F827" s="1">
        <v>0</v>
      </c>
      <c r="G827" s="1">
        <v>14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3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3">
        <v>386</v>
      </c>
      <c r="AI827" s="3">
        <v>416</v>
      </c>
      <c r="AJ827" s="3">
        <v>16</v>
      </c>
    </row>
    <row r="828" spans="1:36" s="1" customFormat="1" x14ac:dyDescent="0.2">
      <c r="A828" s="1" t="s">
        <v>689</v>
      </c>
      <c r="B828" s="1" t="s">
        <v>626</v>
      </c>
      <c r="C828" s="1">
        <v>90.2</v>
      </c>
      <c r="D828" s="1">
        <v>0</v>
      </c>
      <c r="E828" s="1">
        <v>0</v>
      </c>
      <c r="F828" s="1">
        <v>0</v>
      </c>
      <c r="G828" s="1">
        <v>8.3000000000000007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1.5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3">
        <v>410</v>
      </c>
      <c r="AI828" s="3">
        <v>425</v>
      </c>
      <c r="AJ828" s="3">
        <v>12</v>
      </c>
    </row>
    <row r="829" spans="1:36" s="1" customFormat="1" x14ac:dyDescent="0.2">
      <c r="A829" s="1" t="s">
        <v>690</v>
      </c>
      <c r="B829" s="1" t="s">
        <v>625</v>
      </c>
      <c r="C829" s="1">
        <v>86.5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0.5</v>
      </c>
      <c r="L829" s="1">
        <v>0</v>
      </c>
      <c r="M829" s="1">
        <v>0</v>
      </c>
      <c r="N829" s="1">
        <v>0</v>
      </c>
      <c r="O829" s="1">
        <v>3</v>
      </c>
      <c r="P829" s="1">
        <v>10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3">
        <v>247</v>
      </c>
      <c r="AI829" s="3">
        <v>360</v>
      </c>
      <c r="AJ829" s="3">
        <v>2.7</v>
      </c>
    </row>
    <row r="830" spans="1:36" s="1" customFormat="1" x14ac:dyDescent="0.2">
      <c r="A830" s="1" t="s">
        <v>691</v>
      </c>
      <c r="B830" s="1" t="s">
        <v>625</v>
      </c>
      <c r="C830" s="1">
        <v>88.5</v>
      </c>
      <c r="D830" s="1">
        <v>0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0.5</v>
      </c>
      <c r="L830" s="1">
        <v>0</v>
      </c>
      <c r="M830" s="1">
        <v>0</v>
      </c>
      <c r="N830" s="1">
        <v>0</v>
      </c>
      <c r="O830" s="1">
        <v>0</v>
      </c>
      <c r="P830" s="1">
        <v>10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3">
        <v>205</v>
      </c>
      <c r="AI830" s="3">
        <v>303</v>
      </c>
      <c r="AJ830" s="3">
        <v>6.6</v>
      </c>
    </row>
    <row r="831" spans="1:36" s="1" customFormat="1" x14ac:dyDescent="0.2">
      <c r="A831" s="1" t="s">
        <v>692</v>
      </c>
      <c r="B831" s="1" t="s">
        <v>625</v>
      </c>
      <c r="C831" s="1">
        <v>86.5</v>
      </c>
      <c r="D831" s="1">
        <v>0</v>
      </c>
      <c r="E831" s="1">
        <v>0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0.5</v>
      </c>
      <c r="L831" s="1">
        <v>0</v>
      </c>
      <c r="M831" s="1">
        <v>0</v>
      </c>
      <c r="N831" s="1">
        <v>0</v>
      </c>
      <c r="O831" s="1">
        <v>2</v>
      </c>
      <c r="P831" s="1">
        <v>10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3">
        <v>252</v>
      </c>
      <c r="AI831" s="3">
        <v>351</v>
      </c>
      <c r="AJ831" s="3">
        <v>10.199999999999999</v>
      </c>
    </row>
    <row r="832" spans="1:36" s="1" customFormat="1" x14ac:dyDescent="0.2">
      <c r="A832" s="1" t="s">
        <v>693</v>
      </c>
      <c r="B832" s="1" t="s">
        <v>627</v>
      </c>
      <c r="C832" s="1">
        <v>96.9</v>
      </c>
      <c r="D832" s="1">
        <v>0.5</v>
      </c>
      <c r="E832" s="1">
        <v>0</v>
      </c>
      <c r="F832" s="1">
        <v>0</v>
      </c>
      <c r="G832" s="1">
        <v>2</v>
      </c>
      <c r="H832" s="1">
        <v>0</v>
      </c>
      <c r="I832" s="1">
        <v>0</v>
      </c>
      <c r="J832" s="1">
        <v>0</v>
      </c>
      <c r="K832" s="1">
        <v>0.4</v>
      </c>
      <c r="L832" s="1">
        <v>0</v>
      </c>
      <c r="M832" s="1">
        <v>0</v>
      </c>
      <c r="N832" s="1">
        <v>0</v>
      </c>
      <c r="O832" s="1">
        <v>0.2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3">
        <v>89</v>
      </c>
      <c r="AI832" s="3">
        <v>203</v>
      </c>
      <c r="AJ832" s="3">
        <v>35</v>
      </c>
    </row>
    <row r="833" spans="1:36" s="1" customFormat="1" x14ac:dyDescent="0.2">
      <c r="A833" s="1" t="s">
        <v>694</v>
      </c>
      <c r="B833" s="1" t="s">
        <v>627</v>
      </c>
      <c r="C833" s="1">
        <v>85</v>
      </c>
      <c r="D833" s="1">
        <v>0</v>
      </c>
      <c r="E833" s="1">
        <v>0</v>
      </c>
      <c r="F833" s="1">
        <v>0</v>
      </c>
      <c r="G833" s="1">
        <v>10</v>
      </c>
      <c r="H833" s="1">
        <v>0</v>
      </c>
      <c r="I833" s="1">
        <v>5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3">
        <v>188</v>
      </c>
      <c r="AI833" s="3">
        <v>235</v>
      </c>
      <c r="AJ833" s="3">
        <v>5.6</v>
      </c>
    </row>
    <row r="834" spans="1:36" s="1" customFormat="1" x14ac:dyDescent="0.2">
      <c r="A834" s="1" t="s">
        <v>695</v>
      </c>
      <c r="B834" s="1" t="s">
        <v>627</v>
      </c>
      <c r="C834" s="1">
        <v>97</v>
      </c>
      <c r="D834" s="1">
        <v>1</v>
      </c>
      <c r="E834" s="1">
        <v>1</v>
      </c>
      <c r="F834" s="1">
        <v>0</v>
      </c>
      <c r="G834" s="1">
        <v>0.5</v>
      </c>
      <c r="H834" s="1">
        <v>0</v>
      </c>
      <c r="I834" s="1">
        <v>0</v>
      </c>
      <c r="J834" s="1">
        <v>0</v>
      </c>
      <c r="K834" s="1">
        <v>0.5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3">
        <v>136</v>
      </c>
      <c r="AI834" s="3">
        <v>237</v>
      </c>
      <c r="AJ834" s="3">
        <v>9</v>
      </c>
    </row>
    <row r="835" spans="1:36" s="1" customFormat="1" x14ac:dyDescent="0.2">
      <c r="A835" s="1" t="s">
        <v>696</v>
      </c>
      <c r="B835" s="1" t="s">
        <v>485</v>
      </c>
      <c r="C835" s="1">
        <v>89.1</v>
      </c>
      <c r="D835" s="1">
        <v>0</v>
      </c>
      <c r="E835" s="1">
        <v>0</v>
      </c>
      <c r="F835" s="1">
        <v>0</v>
      </c>
      <c r="G835" s="1">
        <v>1.5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0.4</v>
      </c>
      <c r="O835" s="1">
        <v>3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6</v>
      </c>
      <c r="AF835" s="1">
        <v>0</v>
      </c>
      <c r="AG835" s="1">
        <v>0</v>
      </c>
      <c r="AH835" s="3">
        <v>316</v>
      </c>
      <c r="AI835" s="3">
        <v>354</v>
      </c>
      <c r="AJ835" s="3">
        <v>8.1</v>
      </c>
    </row>
    <row r="836" spans="1:36" s="1" customFormat="1" x14ac:dyDescent="0.2">
      <c r="A836" s="1" t="s">
        <v>696</v>
      </c>
      <c r="B836" s="1" t="s">
        <v>485</v>
      </c>
      <c r="C836" s="1">
        <v>89.1</v>
      </c>
      <c r="D836" s="1">
        <v>0</v>
      </c>
      <c r="E836" s="1">
        <v>0</v>
      </c>
      <c r="F836" s="1">
        <v>0</v>
      </c>
      <c r="G836" s="1">
        <v>1.5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0.4</v>
      </c>
      <c r="O836" s="1">
        <v>3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6</v>
      </c>
      <c r="AF836" s="1">
        <v>0</v>
      </c>
      <c r="AG836" s="1">
        <v>0</v>
      </c>
      <c r="AH836" s="3">
        <v>303</v>
      </c>
      <c r="AI836" s="3">
        <v>373</v>
      </c>
      <c r="AJ836" s="3">
        <v>11</v>
      </c>
    </row>
    <row r="837" spans="1:36" s="1" customFormat="1" x14ac:dyDescent="0.2">
      <c r="A837" s="1" t="s">
        <v>697</v>
      </c>
      <c r="B837" s="1" t="s">
        <v>485</v>
      </c>
      <c r="C837" s="1">
        <v>86.9</v>
      </c>
      <c r="D837" s="1">
        <v>0</v>
      </c>
      <c r="E837" s="1">
        <v>0</v>
      </c>
      <c r="F837" s="1">
        <v>0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</v>
      </c>
      <c r="P837" s="1">
        <v>8.1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3">
        <v>395</v>
      </c>
      <c r="AI837" s="3">
        <v>461</v>
      </c>
      <c r="AJ837" s="3">
        <v>6</v>
      </c>
    </row>
    <row r="838" spans="1:36" s="1" customFormat="1" x14ac:dyDescent="0.2">
      <c r="A838" s="1" t="s">
        <v>698</v>
      </c>
      <c r="B838" s="1" t="s">
        <v>485</v>
      </c>
      <c r="C838" s="1">
        <v>77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11</v>
      </c>
      <c r="AB838" s="1">
        <v>0</v>
      </c>
      <c r="AC838" s="1">
        <v>0</v>
      </c>
      <c r="AD838" s="1">
        <v>12</v>
      </c>
      <c r="AE838" s="1">
        <v>0</v>
      </c>
      <c r="AF838" s="1">
        <v>0</v>
      </c>
      <c r="AG838" s="1">
        <v>0</v>
      </c>
      <c r="AH838" s="3">
        <v>275</v>
      </c>
      <c r="AI838" s="3">
        <v>336</v>
      </c>
      <c r="AJ838" s="3">
        <v>13.7</v>
      </c>
    </row>
    <row r="839" spans="1:36" s="1" customFormat="1" x14ac:dyDescent="0.2">
      <c r="A839" s="1" t="s">
        <v>698</v>
      </c>
      <c r="B839" s="1" t="s">
        <v>485</v>
      </c>
      <c r="C839" s="1">
        <v>77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11</v>
      </c>
      <c r="AB839" s="1">
        <v>0</v>
      </c>
      <c r="AC839" s="1">
        <v>0</v>
      </c>
      <c r="AD839" s="1">
        <v>12</v>
      </c>
      <c r="AE839" s="1">
        <v>0</v>
      </c>
      <c r="AF839" s="1">
        <v>0</v>
      </c>
      <c r="AG839" s="1">
        <v>0</v>
      </c>
      <c r="AH839" s="3">
        <v>280</v>
      </c>
      <c r="AI839" s="3">
        <v>360</v>
      </c>
      <c r="AJ839" s="3">
        <v>22.5</v>
      </c>
    </row>
    <row r="840" spans="1:36" s="1" customFormat="1" x14ac:dyDescent="0.2">
      <c r="A840" s="1" t="s">
        <v>699</v>
      </c>
      <c r="B840" s="1" t="s">
        <v>485</v>
      </c>
      <c r="C840" s="1">
        <v>87.3</v>
      </c>
      <c r="D840" s="1">
        <v>0</v>
      </c>
      <c r="E840" s="1">
        <v>0</v>
      </c>
      <c r="F840" s="1">
        <v>0</v>
      </c>
      <c r="G840" s="1">
        <v>1.2</v>
      </c>
      <c r="H840" s="1">
        <v>0</v>
      </c>
      <c r="I840" s="1">
        <v>0</v>
      </c>
      <c r="J840" s="1">
        <v>0</v>
      </c>
      <c r="K840" s="1">
        <v>0.5</v>
      </c>
      <c r="L840" s="1">
        <v>0</v>
      </c>
      <c r="M840" s="1">
        <v>0</v>
      </c>
      <c r="N840" s="1">
        <v>0</v>
      </c>
      <c r="O840" s="1">
        <v>0</v>
      </c>
      <c r="P840" s="1">
        <v>8</v>
      </c>
      <c r="Q840" s="1">
        <v>0</v>
      </c>
      <c r="R840" s="1">
        <v>0</v>
      </c>
      <c r="S840" s="1">
        <v>0</v>
      </c>
      <c r="T840" s="1">
        <v>3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3">
        <v>413</v>
      </c>
      <c r="AI840" s="3">
        <v>425</v>
      </c>
      <c r="AJ840" s="3">
        <v>5.5</v>
      </c>
    </row>
    <row r="841" spans="1:36" s="1" customFormat="1" x14ac:dyDescent="0.2">
      <c r="A841" s="1" t="s">
        <v>700</v>
      </c>
      <c r="B841" s="1" t="s">
        <v>485</v>
      </c>
      <c r="C841" s="1">
        <v>85.4</v>
      </c>
      <c r="D841" s="1">
        <v>0</v>
      </c>
      <c r="E841" s="1">
        <v>0</v>
      </c>
      <c r="F841" s="1">
        <v>0</v>
      </c>
      <c r="G841" s="1">
        <v>1.2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0.9</v>
      </c>
      <c r="O841" s="1">
        <v>3.3</v>
      </c>
      <c r="P841" s="1">
        <v>9.1999999999999993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3">
        <v>345</v>
      </c>
      <c r="AI841" s="3">
        <v>418</v>
      </c>
      <c r="AJ841" s="3">
        <v>6.8</v>
      </c>
    </row>
    <row r="842" spans="1:36" s="1" customFormat="1" x14ac:dyDescent="0.2">
      <c r="A842" s="1" t="s">
        <v>700</v>
      </c>
      <c r="B842" s="1" t="s">
        <v>485</v>
      </c>
      <c r="C842" s="1">
        <v>85.4</v>
      </c>
      <c r="D842" s="1">
        <v>0</v>
      </c>
      <c r="E842" s="1">
        <v>0</v>
      </c>
      <c r="F842" s="1">
        <v>0</v>
      </c>
      <c r="G842" s="1">
        <v>1.2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0.9</v>
      </c>
      <c r="O842" s="1">
        <v>3.3</v>
      </c>
      <c r="P842" s="1">
        <v>9.1999999999999993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3">
        <v>420</v>
      </c>
      <c r="AI842" s="3">
        <v>525</v>
      </c>
      <c r="AJ842" s="3">
        <v>6.3</v>
      </c>
    </row>
    <row r="843" spans="1:36" s="1" customFormat="1" x14ac:dyDescent="0.2">
      <c r="A843" s="1" t="s">
        <v>701</v>
      </c>
      <c r="B843" s="1" t="s">
        <v>485</v>
      </c>
      <c r="C843" s="1">
        <v>85</v>
      </c>
      <c r="D843" s="1">
        <v>0</v>
      </c>
      <c r="E843" s="1">
        <v>0</v>
      </c>
      <c r="F843" s="1">
        <v>0</v>
      </c>
      <c r="G843" s="1">
        <v>1.4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1.1000000000000001</v>
      </c>
      <c r="O843" s="1">
        <v>4.2</v>
      </c>
      <c r="P843" s="1">
        <v>8.3000000000000007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3">
        <v>282</v>
      </c>
      <c r="AI843" s="3">
        <v>388</v>
      </c>
      <c r="AJ843" s="3">
        <v>16.399999999999999</v>
      </c>
    </row>
    <row r="844" spans="1:36" s="1" customFormat="1" x14ac:dyDescent="0.2">
      <c r="A844" s="1" t="s">
        <v>701</v>
      </c>
      <c r="B844" s="1" t="s">
        <v>485</v>
      </c>
      <c r="C844" s="1">
        <v>85</v>
      </c>
      <c r="D844" s="1">
        <v>0</v>
      </c>
      <c r="E844" s="1">
        <v>0</v>
      </c>
      <c r="F844" s="1">
        <v>0</v>
      </c>
      <c r="G844" s="1">
        <v>1.4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1.1000000000000001</v>
      </c>
      <c r="O844" s="1">
        <v>4.2</v>
      </c>
      <c r="P844" s="1">
        <v>8.3000000000000007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3">
        <v>390</v>
      </c>
      <c r="AI844" s="3">
        <v>538</v>
      </c>
      <c r="AJ844" s="3">
        <v>13.1</v>
      </c>
    </row>
    <row r="845" spans="1:36" s="1" customFormat="1" x14ac:dyDescent="0.2">
      <c r="A845" s="1" t="s">
        <v>702</v>
      </c>
      <c r="B845" s="1" t="s">
        <v>485</v>
      </c>
      <c r="C845" s="1">
        <v>86</v>
      </c>
      <c r="D845" s="1">
        <v>0</v>
      </c>
      <c r="E845" s="1">
        <v>0</v>
      </c>
      <c r="F845" s="1">
        <v>0</v>
      </c>
      <c r="G845" s="1">
        <v>1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0.8</v>
      </c>
      <c r="O845" s="1">
        <v>3.4</v>
      </c>
      <c r="P845" s="1">
        <v>8.8000000000000007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3">
        <v>362</v>
      </c>
      <c r="AI845" s="3">
        <v>415</v>
      </c>
      <c r="AJ845" s="3">
        <v>8.3000000000000007</v>
      </c>
    </row>
    <row r="846" spans="1:36" s="1" customFormat="1" x14ac:dyDescent="0.2">
      <c r="A846" s="1" t="s">
        <v>703</v>
      </c>
      <c r="B846" s="1" t="s">
        <v>485</v>
      </c>
      <c r="C846" s="1">
        <v>84.7</v>
      </c>
      <c r="D846" s="1">
        <v>0</v>
      </c>
      <c r="E846" s="1">
        <v>0</v>
      </c>
      <c r="F846" s="1">
        <v>0</v>
      </c>
      <c r="G846" s="1">
        <v>0.9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0.5</v>
      </c>
      <c r="O846" s="1">
        <v>1.3</v>
      </c>
      <c r="P846" s="1">
        <v>12.6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3">
        <v>543</v>
      </c>
      <c r="AI846" s="3">
        <v>564</v>
      </c>
      <c r="AJ846" s="3">
        <v>1.2</v>
      </c>
    </row>
    <row r="847" spans="1:36" s="1" customFormat="1" x14ac:dyDescent="0.2">
      <c r="A847" s="1" t="s">
        <v>704</v>
      </c>
      <c r="B847" s="1" t="s">
        <v>652</v>
      </c>
      <c r="C847" s="1">
        <v>86.1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0.6</v>
      </c>
      <c r="L847" s="1">
        <v>0</v>
      </c>
      <c r="M847" s="1">
        <v>0</v>
      </c>
      <c r="N847" s="1">
        <v>0</v>
      </c>
      <c r="O847" s="1">
        <v>3.8</v>
      </c>
      <c r="P847" s="1">
        <v>9.5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3">
        <v>227</v>
      </c>
      <c r="AI847" s="3">
        <v>334</v>
      </c>
      <c r="AJ847" s="3">
        <v>7.3</v>
      </c>
    </row>
    <row r="848" spans="1:36" s="1" customFormat="1" x14ac:dyDescent="0.2">
      <c r="A848" s="1" t="s">
        <v>659</v>
      </c>
      <c r="B848" s="1" t="s">
        <v>485</v>
      </c>
      <c r="C848" s="1">
        <v>90.5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0.5</v>
      </c>
      <c r="L848" s="1">
        <v>0</v>
      </c>
      <c r="M848" s="1">
        <v>0</v>
      </c>
      <c r="N848" s="1">
        <v>0</v>
      </c>
      <c r="O848" s="1">
        <v>0</v>
      </c>
      <c r="P848" s="1">
        <v>8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1</v>
      </c>
      <c r="AF848" s="1">
        <v>0</v>
      </c>
      <c r="AG848" s="1">
        <v>0</v>
      </c>
      <c r="AH848" s="3">
        <v>425</v>
      </c>
      <c r="AI848" s="3">
        <v>452</v>
      </c>
      <c r="AJ848" s="3">
        <v>3.2</v>
      </c>
    </row>
    <row r="849" spans="1:36" s="1" customFormat="1" x14ac:dyDescent="0.2">
      <c r="A849" s="1" t="s">
        <v>705</v>
      </c>
      <c r="B849" s="1" t="s">
        <v>485</v>
      </c>
      <c r="C849" s="1">
        <v>86.6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0.4</v>
      </c>
      <c r="L849" s="1">
        <v>0</v>
      </c>
      <c r="M849" s="1">
        <v>0</v>
      </c>
      <c r="N849" s="1">
        <v>0</v>
      </c>
      <c r="O849" s="1">
        <v>3.8</v>
      </c>
      <c r="P849" s="1">
        <v>8.1999999999999993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3">
        <v>393</v>
      </c>
      <c r="AI849" s="3">
        <v>447</v>
      </c>
      <c r="AJ849" s="3">
        <v>16</v>
      </c>
    </row>
    <row r="850" spans="1:36" s="1" customFormat="1" x14ac:dyDescent="0.2">
      <c r="A850" s="1" t="s">
        <v>705</v>
      </c>
      <c r="B850" s="1" t="s">
        <v>485</v>
      </c>
      <c r="C850" s="1">
        <v>86.6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1">
        <v>0</v>
      </c>
      <c r="J850" s="1">
        <v>0</v>
      </c>
      <c r="K850" s="1">
        <v>0.4</v>
      </c>
      <c r="L850" s="1">
        <v>0</v>
      </c>
      <c r="M850" s="1">
        <v>0</v>
      </c>
      <c r="N850" s="1">
        <v>0</v>
      </c>
      <c r="O850" s="1">
        <v>3.8</v>
      </c>
      <c r="P850" s="1">
        <v>8.1999999999999993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3">
        <v>466</v>
      </c>
      <c r="AI850" s="3">
        <v>514</v>
      </c>
      <c r="AJ850" s="3">
        <v>14</v>
      </c>
    </row>
    <row r="851" spans="1:36" s="1" customFormat="1" x14ac:dyDescent="0.2">
      <c r="A851" s="1" t="s">
        <v>706</v>
      </c>
      <c r="B851" s="1" t="s">
        <v>485</v>
      </c>
      <c r="C851" s="1">
        <v>89.1</v>
      </c>
      <c r="D851" s="1">
        <v>0</v>
      </c>
      <c r="E851" s="1">
        <v>0</v>
      </c>
      <c r="F851" s="1">
        <v>0</v>
      </c>
      <c r="G851" s="1">
        <v>1.5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0.4</v>
      </c>
      <c r="O851" s="1">
        <v>3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6</v>
      </c>
      <c r="AF851" s="1">
        <v>0</v>
      </c>
      <c r="AG851" s="1">
        <v>0</v>
      </c>
      <c r="AH851" s="3">
        <v>298</v>
      </c>
      <c r="AI851" s="3">
        <v>336</v>
      </c>
      <c r="AJ851" s="3">
        <v>11.7</v>
      </c>
    </row>
    <row r="852" spans="1:36" s="1" customFormat="1" x14ac:dyDescent="0.2">
      <c r="A852" s="1" t="s">
        <v>707</v>
      </c>
      <c r="B852" s="1" t="s">
        <v>485</v>
      </c>
      <c r="C852" s="1">
        <v>97.4</v>
      </c>
      <c r="D852" s="1">
        <v>0</v>
      </c>
      <c r="E852" s="1">
        <v>0</v>
      </c>
      <c r="F852" s="1">
        <v>0</v>
      </c>
      <c r="G852" s="1">
        <v>1.2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0.2</v>
      </c>
      <c r="O852" s="1">
        <v>0.6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0.6</v>
      </c>
      <c r="AF852" s="1">
        <v>0</v>
      </c>
      <c r="AG852" s="1">
        <v>0</v>
      </c>
      <c r="AH852" s="3">
        <v>320</v>
      </c>
      <c r="AI852" s="3">
        <v>351</v>
      </c>
      <c r="AJ852" s="3">
        <v>10</v>
      </c>
    </row>
    <row r="853" spans="1:36" s="1" customFormat="1" x14ac:dyDescent="0.2">
      <c r="A853" s="1" t="s">
        <v>708</v>
      </c>
      <c r="B853" s="1" t="s">
        <v>485</v>
      </c>
      <c r="C853" s="1">
        <v>95.6</v>
      </c>
      <c r="D853" s="1">
        <v>0</v>
      </c>
      <c r="E853" s="1">
        <v>0</v>
      </c>
      <c r="F853" s="1">
        <v>0</v>
      </c>
      <c r="G853" s="1">
        <v>3.6</v>
      </c>
      <c r="H853" s="1">
        <v>0</v>
      </c>
      <c r="I853" s="1">
        <v>0</v>
      </c>
      <c r="J853" s="1">
        <v>0.2</v>
      </c>
      <c r="K853" s="1">
        <v>0</v>
      </c>
      <c r="L853" s="1">
        <v>0</v>
      </c>
      <c r="M853" s="1">
        <v>0</v>
      </c>
      <c r="N853" s="1">
        <v>0</v>
      </c>
      <c r="O853" s="1">
        <v>0.6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3">
        <v>317</v>
      </c>
      <c r="AI853" s="3">
        <v>357</v>
      </c>
      <c r="AJ853" s="3">
        <v>6.4</v>
      </c>
    </row>
    <row r="854" spans="1:36" s="1" customFormat="1" x14ac:dyDescent="0.2">
      <c r="A854" s="1" t="s">
        <v>709</v>
      </c>
      <c r="B854" s="1" t="s">
        <v>652</v>
      </c>
      <c r="C854" s="1">
        <v>89.7</v>
      </c>
      <c r="D854" s="1">
        <v>0</v>
      </c>
      <c r="E854" s="1">
        <v>0</v>
      </c>
      <c r="F854" s="1">
        <v>0</v>
      </c>
      <c r="G854" s="1">
        <v>1</v>
      </c>
      <c r="H854" s="1">
        <v>0</v>
      </c>
      <c r="I854" s="1">
        <v>8</v>
      </c>
      <c r="J854" s="1">
        <v>1</v>
      </c>
      <c r="K854" s="1">
        <v>0</v>
      </c>
      <c r="L854" s="1">
        <v>0</v>
      </c>
      <c r="M854" s="1">
        <v>0</v>
      </c>
      <c r="N854" s="1">
        <v>0.3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3">
        <v>275</v>
      </c>
      <c r="AI854" s="3">
        <v>371</v>
      </c>
      <c r="AJ854" s="3">
        <v>17.100000000000001</v>
      </c>
    </row>
    <row r="855" spans="1:36" s="1" customFormat="1" x14ac:dyDescent="0.2">
      <c r="A855" s="1" t="s">
        <v>710</v>
      </c>
      <c r="B855" s="1" t="s">
        <v>627</v>
      </c>
      <c r="C855" s="1">
        <v>90.5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5</v>
      </c>
      <c r="J855" s="1">
        <v>3.5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3">
        <v>322</v>
      </c>
      <c r="AI855" s="3">
        <v>361</v>
      </c>
      <c r="AJ855" s="3">
        <v>16</v>
      </c>
    </row>
    <row r="856" spans="1:36" s="1" customFormat="1" x14ac:dyDescent="0.2">
      <c r="A856" s="1" t="s">
        <v>711</v>
      </c>
      <c r="B856" s="1" t="s">
        <v>485</v>
      </c>
      <c r="C856" s="1">
        <v>89.66</v>
      </c>
      <c r="D856" s="1">
        <v>0</v>
      </c>
      <c r="E856" s="1">
        <v>0</v>
      </c>
      <c r="F856" s="1">
        <v>0</v>
      </c>
      <c r="G856" s="1">
        <v>1.85</v>
      </c>
      <c r="H856" s="1">
        <v>8.32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0.17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3">
        <v>256</v>
      </c>
      <c r="AI856" s="3">
        <v>324</v>
      </c>
      <c r="AJ856" s="3">
        <v>13.5</v>
      </c>
    </row>
    <row r="857" spans="1:36" s="1" customFormat="1" x14ac:dyDescent="0.2">
      <c r="A857" s="1" t="s">
        <v>712</v>
      </c>
      <c r="B857" s="1" t="s">
        <v>485</v>
      </c>
      <c r="C857" s="1">
        <v>96</v>
      </c>
      <c r="D857" s="1">
        <v>0</v>
      </c>
      <c r="E857" s="1">
        <v>0</v>
      </c>
      <c r="F857" s="1">
        <v>0</v>
      </c>
      <c r="G857" s="1">
        <v>0</v>
      </c>
      <c r="H857" s="1">
        <v>2</v>
      </c>
      <c r="I857" s="1">
        <v>0</v>
      </c>
      <c r="J857" s="1">
        <v>2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3">
        <v>443</v>
      </c>
      <c r="AI857" s="3">
        <v>460</v>
      </c>
      <c r="AJ857" s="3">
        <v>1.2</v>
      </c>
    </row>
    <row r="858" spans="1:36" s="1" customFormat="1" x14ac:dyDescent="0.2">
      <c r="A858" s="1" t="s">
        <v>712</v>
      </c>
      <c r="B858" s="1" t="s">
        <v>485</v>
      </c>
      <c r="C858" s="1">
        <v>96</v>
      </c>
      <c r="D858" s="1">
        <v>0</v>
      </c>
      <c r="E858" s="1">
        <v>0</v>
      </c>
      <c r="F858" s="1">
        <v>0</v>
      </c>
      <c r="G858" s="1">
        <v>0</v>
      </c>
      <c r="H858" s="1">
        <v>2</v>
      </c>
      <c r="I858" s="1">
        <v>0</v>
      </c>
      <c r="J858" s="1">
        <v>2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3">
        <v>358</v>
      </c>
      <c r="AI858" s="3">
        <v>365</v>
      </c>
      <c r="AJ858" s="3">
        <v>8.9</v>
      </c>
    </row>
    <row r="859" spans="1:36" s="1" customFormat="1" x14ac:dyDescent="0.2">
      <c r="A859" s="1" t="s">
        <v>713</v>
      </c>
      <c r="B859" s="1" t="s">
        <v>485</v>
      </c>
      <c r="C859" s="1">
        <v>95.55</v>
      </c>
      <c r="D859" s="1">
        <v>0</v>
      </c>
      <c r="E859" s="1">
        <v>0</v>
      </c>
      <c r="F859" s="1">
        <v>0</v>
      </c>
      <c r="G859" s="1">
        <v>0</v>
      </c>
      <c r="H859" s="1">
        <v>2</v>
      </c>
      <c r="I859" s="1">
        <v>0</v>
      </c>
      <c r="J859" s="1">
        <v>1.95</v>
      </c>
      <c r="K859" s="1">
        <v>0</v>
      </c>
      <c r="L859" s="1">
        <v>0</v>
      </c>
      <c r="M859" s="1">
        <v>0</v>
      </c>
      <c r="N859" s="1">
        <v>0.5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3">
        <v>450</v>
      </c>
      <c r="AI859" s="3">
        <v>462</v>
      </c>
      <c r="AJ859" s="3">
        <v>5</v>
      </c>
    </row>
    <row r="860" spans="1:36" s="1" customFormat="1" x14ac:dyDescent="0.2">
      <c r="A860" s="1" t="s">
        <v>714</v>
      </c>
      <c r="B860" s="1" t="s">
        <v>485</v>
      </c>
      <c r="C860" s="1">
        <v>89.5</v>
      </c>
      <c r="D860" s="1">
        <v>0</v>
      </c>
      <c r="E860" s="1">
        <v>0</v>
      </c>
      <c r="F860" s="1">
        <v>0</v>
      </c>
      <c r="G860" s="1">
        <v>5</v>
      </c>
      <c r="H860" s="1">
        <v>3.5</v>
      </c>
      <c r="I860" s="1">
        <v>0</v>
      </c>
      <c r="J860" s="1">
        <v>0.5</v>
      </c>
      <c r="K860" s="1">
        <v>0</v>
      </c>
      <c r="L860" s="1">
        <v>0</v>
      </c>
      <c r="M860" s="1">
        <v>0</v>
      </c>
      <c r="N860" s="1">
        <v>1</v>
      </c>
      <c r="O860" s="1">
        <v>0</v>
      </c>
      <c r="P860" s="1">
        <v>0</v>
      </c>
      <c r="Q860" s="1">
        <v>0.5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3">
        <v>392</v>
      </c>
      <c r="AI860" s="3">
        <v>402</v>
      </c>
      <c r="AJ860" s="3">
        <v>7</v>
      </c>
    </row>
    <row r="861" spans="1:36" s="1" customFormat="1" x14ac:dyDescent="0.2">
      <c r="A861" s="1" t="s">
        <v>715</v>
      </c>
      <c r="B861" s="1" t="s">
        <v>485</v>
      </c>
      <c r="C861" s="1">
        <v>99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3">
        <v>377</v>
      </c>
      <c r="AI861" s="3">
        <v>392</v>
      </c>
      <c r="AJ861" s="3">
        <v>2</v>
      </c>
    </row>
    <row r="862" spans="1:36" s="1" customFormat="1" x14ac:dyDescent="0.2">
      <c r="A862" s="1" t="s">
        <v>716</v>
      </c>
      <c r="B862" s="1" t="s">
        <v>485</v>
      </c>
      <c r="C862" s="1">
        <v>92.5</v>
      </c>
      <c r="D862" s="1">
        <v>0</v>
      </c>
      <c r="E862" s="1">
        <v>0.5</v>
      </c>
      <c r="F862" s="1">
        <v>0</v>
      </c>
      <c r="G862" s="1">
        <v>6</v>
      </c>
      <c r="H862" s="1">
        <v>0</v>
      </c>
      <c r="I862" s="1">
        <v>0</v>
      </c>
      <c r="J862" s="1">
        <v>0</v>
      </c>
      <c r="K862" s="1">
        <v>0.5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0.5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3">
        <v>304</v>
      </c>
      <c r="AI862" s="3">
        <v>345</v>
      </c>
      <c r="AJ862" s="3">
        <v>20</v>
      </c>
    </row>
    <row r="863" spans="1:36" s="1" customFormat="1" x14ac:dyDescent="0.2">
      <c r="A863" s="1" t="s">
        <v>717</v>
      </c>
      <c r="B863" s="1" t="s">
        <v>485</v>
      </c>
      <c r="C863" s="1">
        <v>87</v>
      </c>
      <c r="D863" s="1">
        <v>0</v>
      </c>
      <c r="E863" s="1">
        <v>0</v>
      </c>
      <c r="F863" s="1">
        <v>0</v>
      </c>
      <c r="G863" s="1">
        <v>0</v>
      </c>
      <c r="H863" s="1">
        <v>2.5</v>
      </c>
      <c r="I863" s="1">
        <v>9</v>
      </c>
      <c r="J863" s="1">
        <v>1.5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3">
        <v>230</v>
      </c>
      <c r="AI863" s="3">
        <v>309</v>
      </c>
      <c r="AJ863" s="3">
        <v>7.5</v>
      </c>
    </row>
    <row r="864" spans="1:36" s="1" customFormat="1" x14ac:dyDescent="0.2">
      <c r="A864" s="1" t="s">
        <v>718</v>
      </c>
      <c r="B864" s="1" t="s">
        <v>652</v>
      </c>
      <c r="C864" s="1">
        <v>98.28</v>
      </c>
      <c r="D864" s="1">
        <v>0.17</v>
      </c>
      <c r="E864" s="1">
        <v>0</v>
      </c>
      <c r="F864" s="1">
        <v>0</v>
      </c>
      <c r="G864" s="1">
        <v>1.2</v>
      </c>
      <c r="H864" s="1">
        <v>0</v>
      </c>
      <c r="I864" s="1">
        <v>0</v>
      </c>
      <c r="J864" s="1">
        <v>0</v>
      </c>
      <c r="K864" s="1">
        <v>0.35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3">
        <v>169</v>
      </c>
      <c r="AI864" s="3">
        <v>231</v>
      </c>
      <c r="AJ864" s="3">
        <v>23</v>
      </c>
    </row>
    <row r="865" spans="1:36" s="1" customFormat="1" x14ac:dyDescent="0.2">
      <c r="A865" s="1" t="s">
        <v>719</v>
      </c>
      <c r="B865" s="1" t="s">
        <v>652</v>
      </c>
      <c r="C865" s="1">
        <v>90.2</v>
      </c>
      <c r="D865" s="1">
        <v>0</v>
      </c>
      <c r="E865" s="1">
        <v>0</v>
      </c>
      <c r="F865" s="1">
        <v>0</v>
      </c>
      <c r="G865" s="1">
        <v>5</v>
      </c>
      <c r="H865" s="1">
        <v>4.5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0.3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3">
        <v>164</v>
      </c>
      <c r="AI865" s="3">
        <v>293</v>
      </c>
      <c r="AJ865" s="3">
        <v>21.5</v>
      </c>
    </row>
    <row r="866" spans="1:36" s="1" customFormat="1" x14ac:dyDescent="0.2">
      <c r="A866" s="1" t="s">
        <v>720</v>
      </c>
      <c r="B866" s="1" t="s">
        <v>485</v>
      </c>
      <c r="C866" s="1">
        <v>98.3</v>
      </c>
      <c r="D866" s="1">
        <v>0</v>
      </c>
      <c r="E866" s="1">
        <v>0</v>
      </c>
      <c r="F866" s="1">
        <v>0</v>
      </c>
      <c r="G866" s="1">
        <v>0.6</v>
      </c>
      <c r="H866" s="1">
        <v>0.4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0.7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3">
        <v>188</v>
      </c>
      <c r="AI866" s="3">
        <v>252</v>
      </c>
      <c r="AJ866" s="3">
        <v>33.1</v>
      </c>
    </row>
    <row r="867" spans="1:36" s="1" customFormat="1" x14ac:dyDescent="0.2">
      <c r="A867" s="1" t="s">
        <v>721</v>
      </c>
      <c r="B867" s="1" t="s">
        <v>485</v>
      </c>
      <c r="C867" s="1">
        <v>88</v>
      </c>
      <c r="D867" s="1">
        <v>0</v>
      </c>
      <c r="E867" s="1">
        <v>0</v>
      </c>
      <c r="F867" s="1">
        <v>0</v>
      </c>
      <c r="G867" s="1">
        <v>1</v>
      </c>
      <c r="H867" s="1">
        <v>7</v>
      </c>
      <c r="I867" s="1">
        <v>4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3">
        <v>221</v>
      </c>
      <c r="AI867" s="3">
        <v>340</v>
      </c>
      <c r="AJ867" s="3">
        <v>15.1</v>
      </c>
    </row>
    <row r="868" spans="1:36" s="1" customFormat="1" x14ac:dyDescent="0.2">
      <c r="A868" s="1" t="s">
        <v>723</v>
      </c>
      <c r="B868" s="1" t="s">
        <v>485</v>
      </c>
      <c r="C868" s="1">
        <v>98</v>
      </c>
      <c r="D868" s="1">
        <v>0</v>
      </c>
      <c r="E868" s="1">
        <v>0</v>
      </c>
      <c r="F868" s="1">
        <v>0</v>
      </c>
      <c r="G868" s="1">
        <v>0.5</v>
      </c>
      <c r="H868" s="1">
        <v>1</v>
      </c>
      <c r="I868" s="1">
        <v>0</v>
      </c>
      <c r="J868" s="1">
        <v>0.5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3">
        <v>104</v>
      </c>
      <c r="AI868" s="3">
        <v>331</v>
      </c>
      <c r="AJ868" s="3">
        <v>30.5</v>
      </c>
    </row>
    <row r="869" spans="1:36" s="1" customFormat="1" x14ac:dyDescent="0.2">
      <c r="A869" s="1" t="s">
        <v>722</v>
      </c>
      <c r="B869" s="1" t="s">
        <v>485</v>
      </c>
      <c r="C869" s="1">
        <v>96.5</v>
      </c>
      <c r="D869" s="1">
        <v>0</v>
      </c>
      <c r="E869" s="1">
        <v>0</v>
      </c>
      <c r="F869" s="1">
        <v>0</v>
      </c>
      <c r="G869" s="1">
        <v>0.5</v>
      </c>
      <c r="H869" s="1">
        <v>1</v>
      </c>
      <c r="I869" s="1">
        <v>0</v>
      </c>
      <c r="J869" s="1">
        <v>2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3">
        <v>180</v>
      </c>
      <c r="AI869" s="3">
        <v>300</v>
      </c>
      <c r="AJ869" s="3">
        <v>17.899999999999999</v>
      </c>
    </row>
    <row r="870" spans="1:36" s="1" customFormat="1" x14ac:dyDescent="0.2">
      <c r="A870" s="1" t="s">
        <v>724</v>
      </c>
      <c r="B870" s="1" t="s">
        <v>485</v>
      </c>
      <c r="C870" s="1">
        <v>89.5</v>
      </c>
      <c r="D870" s="1">
        <v>0</v>
      </c>
      <c r="E870" s="1">
        <v>0</v>
      </c>
      <c r="F870" s="1">
        <v>0</v>
      </c>
      <c r="G870" s="1">
        <v>2</v>
      </c>
      <c r="H870" s="1">
        <v>8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0.5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3">
        <v>365</v>
      </c>
      <c r="AI870" s="3">
        <v>388</v>
      </c>
      <c r="AJ870" s="3">
        <v>5.8</v>
      </c>
    </row>
    <row r="871" spans="1:36" s="1" customFormat="1" x14ac:dyDescent="0.2">
      <c r="A871" s="1" t="s">
        <v>725</v>
      </c>
      <c r="B871" s="1" t="s">
        <v>485</v>
      </c>
      <c r="C871" s="1">
        <v>98.13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1.1000000000000001</v>
      </c>
      <c r="J871" s="1">
        <v>0.33</v>
      </c>
      <c r="K871" s="1">
        <v>0</v>
      </c>
      <c r="L871" s="1">
        <v>0</v>
      </c>
      <c r="M871" s="1">
        <v>0</v>
      </c>
      <c r="N871" s="1">
        <v>0.44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3">
        <v>272</v>
      </c>
      <c r="AI871" s="3">
        <v>295</v>
      </c>
      <c r="AJ871" s="3">
        <v>11.2</v>
      </c>
    </row>
    <row r="872" spans="1:36" s="1" customFormat="1" x14ac:dyDescent="0.2">
      <c r="A872" s="1" t="s">
        <v>726</v>
      </c>
      <c r="B872" s="1" t="s">
        <v>485</v>
      </c>
      <c r="C872" s="1">
        <v>94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5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3">
        <v>150</v>
      </c>
      <c r="AI872" s="3">
        <v>316</v>
      </c>
      <c r="AJ872" s="3">
        <v>17</v>
      </c>
    </row>
    <row r="873" spans="1:36" s="1" customFormat="1" x14ac:dyDescent="0.2">
      <c r="A873" s="1" t="s">
        <v>727</v>
      </c>
      <c r="B873" s="1" t="s">
        <v>485</v>
      </c>
      <c r="C873" s="1">
        <v>90.2</v>
      </c>
      <c r="D873" s="1">
        <v>0</v>
      </c>
      <c r="E873" s="1">
        <v>1.3</v>
      </c>
      <c r="F873" s="1">
        <v>0</v>
      </c>
      <c r="G873" s="1">
        <v>0.5</v>
      </c>
      <c r="H873" s="1">
        <v>0</v>
      </c>
      <c r="I873" s="1">
        <v>8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3">
        <v>161</v>
      </c>
      <c r="AI873" s="3">
        <v>320</v>
      </c>
      <c r="AJ873" s="3">
        <v>33.9</v>
      </c>
    </row>
    <row r="874" spans="1:36" s="1" customFormat="1" x14ac:dyDescent="0.2">
      <c r="A874" s="1" t="s">
        <v>728</v>
      </c>
      <c r="B874" s="1" t="s">
        <v>652</v>
      </c>
      <c r="C874" s="1">
        <v>88</v>
      </c>
      <c r="D874" s="1">
        <v>0</v>
      </c>
      <c r="E874" s="1">
        <v>0</v>
      </c>
      <c r="F874" s="1">
        <v>0</v>
      </c>
      <c r="G874" s="1">
        <v>5</v>
      </c>
      <c r="H874" s="1">
        <v>0</v>
      </c>
      <c r="I874" s="1">
        <v>7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3">
        <v>218</v>
      </c>
      <c r="AI874" s="3">
        <v>345</v>
      </c>
      <c r="AJ874" s="3">
        <v>24</v>
      </c>
    </row>
    <row r="875" spans="1:36" s="1" customFormat="1" x14ac:dyDescent="0.2">
      <c r="A875" s="1" t="s">
        <v>730</v>
      </c>
      <c r="B875" s="1" t="s">
        <v>485</v>
      </c>
      <c r="C875" s="1">
        <v>94.5</v>
      </c>
      <c r="D875" s="1">
        <v>0</v>
      </c>
      <c r="E875" s="1">
        <v>0</v>
      </c>
      <c r="F875" s="1">
        <v>0</v>
      </c>
      <c r="G875" s="1">
        <v>3</v>
      </c>
      <c r="H875" s="1">
        <v>0</v>
      </c>
      <c r="I875" s="1">
        <v>0</v>
      </c>
      <c r="J875" s="1">
        <v>0</v>
      </c>
      <c r="K875" s="1">
        <v>0.5</v>
      </c>
      <c r="L875" s="1">
        <v>0</v>
      </c>
      <c r="M875" s="1">
        <v>0</v>
      </c>
      <c r="N875" s="1">
        <v>0</v>
      </c>
      <c r="O875" s="1">
        <v>0</v>
      </c>
      <c r="P875" s="1">
        <v>2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3">
        <v>285</v>
      </c>
      <c r="AI875" s="3">
        <v>314</v>
      </c>
      <c r="AJ875" s="3">
        <v>24</v>
      </c>
    </row>
    <row r="876" spans="1:36" s="1" customFormat="1" x14ac:dyDescent="0.2">
      <c r="A876" s="1" t="s">
        <v>729</v>
      </c>
      <c r="B876" s="1" t="s">
        <v>485</v>
      </c>
      <c r="C876" s="1">
        <v>97.5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0.5</v>
      </c>
      <c r="O876" s="1">
        <v>0</v>
      </c>
      <c r="P876" s="1">
        <v>2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3">
        <v>189</v>
      </c>
      <c r="AI876" s="3">
        <v>243</v>
      </c>
      <c r="AJ876" s="3">
        <v>50</v>
      </c>
    </row>
    <row r="877" spans="1:36" s="1" customFormat="1" x14ac:dyDescent="0.2">
      <c r="A877" s="1" t="s">
        <v>731</v>
      </c>
      <c r="B877" s="1" t="s">
        <v>485</v>
      </c>
      <c r="C877" s="1">
        <v>98.5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0.5</v>
      </c>
      <c r="J877" s="1">
        <v>0</v>
      </c>
      <c r="K877" s="1">
        <v>0</v>
      </c>
      <c r="L877" s="1">
        <v>0</v>
      </c>
      <c r="M877" s="1">
        <v>0</v>
      </c>
      <c r="N877" s="1">
        <v>1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3">
        <v>248</v>
      </c>
      <c r="AI877" s="3">
        <v>263</v>
      </c>
      <c r="AJ877" s="3">
        <v>33.4</v>
      </c>
    </row>
    <row r="878" spans="1:36" s="1" customFormat="1" x14ac:dyDescent="0.2">
      <c r="A878" s="1" t="s">
        <v>732</v>
      </c>
      <c r="B878" s="1" t="s">
        <v>485</v>
      </c>
      <c r="C878" s="1">
        <v>97.2</v>
      </c>
      <c r="D878" s="1">
        <v>2.1</v>
      </c>
      <c r="E878" s="1">
        <v>0</v>
      </c>
      <c r="F878" s="1">
        <v>0</v>
      </c>
      <c r="G878" s="1">
        <v>0.2</v>
      </c>
      <c r="H878" s="1">
        <v>0</v>
      </c>
      <c r="I878" s="1">
        <v>0</v>
      </c>
      <c r="J878" s="1">
        <v>0</v>
      </c>
      <c r="K878" s="1">
        <v>0.5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3">
        <v>220</v>
      </c>
      <c r="AI878" s="3">
        <v>267</v>
      </c>
      <c r="AJ878" s="3">
        <v>48.8</v>
      </c>
    </row>
    <row r="879" spans="1:36" s="1" customFormat="1" x14ac:dyDescent="0.2">
      <c r="A879" s="1" t="s">
        <v>733</v>
      </c>
      <c r="B879" s="1" t="s">
        <v>485</v>
      </c>
      <c r="C879" s="1">
        <v>79</v>
      </c>
      <c r="D879" s="1">
        <v>0</v>
      </c>
      <c r="E879" s="1">
        <v>0</v>
      </c>
      <c r="F879" s="1">
        <v>0</v>
      </c>
      <c r="G879" s="1">
        <v>6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0</v>
      </c>
      <c r="Q879" s="1">
        <v>0</v>
      </c>
      <c r="R879" s="1">
        <v>0</v>
      </c>
      <c r="S879" s="1">
        <v>14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3">
        <v>149</v>
      </c>
      <c r="AI879" s="3">
        <v>168</v>
      </c>
      <c r="AJ879" s="3">
        <v>28.2</v>
      </c>
    </row>
    <row r="880" spans="1:36" s="1" customFormat="1" x14ac:dyDescent="0.2">
      <c r="A880" s="1" t="s">
        <v>734</v>
      </c>
      <c r="B880" s="1" t="s">
        <v>652</v>
      </c>
      <c r="C880" s="1">
        <v>91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9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3">
        <v>132</v>
      </c>
      <c r="AI880" s="3">
        <v>141</v>
      </c>
      <c r="AJ880" s="3">
        <v>25.8</v>
      </c>
    </row>
    <row r="881" spans="1:57" s="1" customFormat="1" x14ac:dyDescent="0.2">
      <c r="A881" s="1" t="s">
        <v>734</v>
      </c>
      <c r="B881" s="1" t="s">
        <v>652</v>
      </c>
      <c r="C881" s="1">
        <v>91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9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3">
        <v>160</v>
      </c>
      <c r="AI881" s="3">
        <v>171</v>
      </c>
      <c r="AJ881" s="3">
        <v>17.600000000000001</v>
      </c>
    </row>
    <row r="882" spans="1:57" s="1" customFormat="1" x14ac:dyDescent="0.2">
      <c r="A882" s="1" t="s">
        <v>735</v>
      </c>
      <c r="B882" s="1" t="s">
        <v>485</v>
      </c>
      <c r="C882" s="1">
        <v>94</v>
      </c>
      <c r="D882" s="1">
        <v>0</v>
      </c>
      <c r="E882" s="1">
        <v>0</v>
      </c>
      <c r="F882" s="1">
        <v>2</v>
      </c>
      <c r="G882" s="1">
        <v>0</v>
      </c>
      <c r="H882" s="1">
        <v>0</v>
      </c>
      <c r="I882" s="1">
        <v>4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3">
        <v>221</v>
      </c>
      <c r="AI882" s="3">
        <v>302</v>
      </c>
      <c r="AJ882" s="3">
        <v>21.1</v>
      </c>
    </row>
    <row r="883" spans="1:57" s="1" customFormat="1" x14ac:dyDescent="0.2">
      <c r="A883" s="1" t="s">
        <v>736</v>
      </c>
      <c r="B883" s="1" t="s">
        <v>485</v>
      </c>
      <c r="C883" s="1">
        <v>92</v>
      </c>
      <c r="D883" s="1">
        <v>0</v>
      </c>
      <c r="E883" s="1">
        <v>0</v>
      </c>
      <c r="F883" s="1">
        <v>4</v>
      </c>
      <c r="G883" s="1">
        <v>0</v>
      </c>
      <c r="H883" s="1">
        <v>0</v>
      </c>
      <c r="I883" s="1">
        <v>4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3">
        <v>242</v>
      </c>
      <c r="AI883" s="3">
        <v>311</v>
      </c>
      <c r="AJ883" s="3">
        <v>15</v>
      </c>
    </row>
    <row r="884" spans="1:57" s="1" customFormat="1" x14ac:dyDescent="0.2">
      <c r="A884" s="1" t="s">
        <v>737</v>
      </c>
      <c r="B884" s="1" t="s">
        <v>485</v>
      </c>
      <c r="C884" s="1">
        <v>90</v>
      </c>
      <c r="D884" s="1">
        <v>0</v>
      </c>
      <c r="E884" s="1">
        <v>0</v>
      </c>
      <c r="F884" s="1">
        <v>6</v>
      </c>
      <c r="G884" s="1">
        <v>0</v>
      </c>
      <c r="H884" s="1">
        <v>0</v>
      </c>
      <c r="I884" s="1">
        <v>4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3">
        <v>256</v>
      </c>
      <c r="AI884" s="3">
        <v>337</v>
      </c>
      <c r="AJ884" s="3">
        <v>8.4</v>
      </c>
    </row>
    <row r="885" spans="1:57" s="3" customFormat="1" x14ac:dyDescent="0.2">
      <c r="A885" s="1" t="s">
        <v>758</v>
      </c>
      <c r="B885" s="1" t="s">
        <v>626</v>
      </c>
      <c r="C885" s="1">
        <v>94.67</v>
      </c>
      <c r="D885" s="1">
        <v>0</v>
      </c>
      <c r="E885" s="1">
        <v>0</v>
      </c>
      <c r="F885" s="1">
        <v>0</v>
      </c>
      <c r="G885" s="1">
        <v>0.22</v>
      </c>
      <c r="H885" s="1">
        <v>0</v>
      </c>
      <c r="I885" s="1">
        <v>4.4000000000000004</v>
      </c>
      <c r="J885" s="1">
        <v>0</v>
      </c>
      <c r="K885" s="1">
        <v>0</v>
      </c>
      <c r="L885" s="1">
        <v>0</v>
      </c>
      <c r="M885" s="1">
        <v>0</v>
      </c>
      <c r="N885" s="1">
        <v>0.6</v>
      </c>
      <c r="O885" s="1">
        <v>0</v>
      </c>
      <c r="P885" s="1">
        <v>0</v>
      </c>
      <c r="Q885" s="1">
        <v>0.01</v>
      </c>
      <c r="R885" s="1">
        <v>0.1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64</v>
      </c>
      <c r="AI885" s="1">
        <v>158</v>
      </c>
      <c r="AJ885" s="1">
        <v>8</v>
      </c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1:57" s="1" customFormat="1" x14ac:dyDescent="0.2">
      <c r="A886" s="3" t="s">
        <v>759</v>
      </c>
      <c r="B886" s="1" t="s">
        <v>626</v>
      </c>
      <c r="C886" s="1">
        <v>92.7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4</v>
      </c>
      <c r="J886" s="1">
        <v>3</v>
      </c>
      <c r="K886" s="1">
        <v>0</v>
      </c>
      <c r="L886" s="1">
        <v>0</v>
      </c>
      <c r="M886" s="1">
        <v>0</v>
      </c>
      <c r="N886" s="1">
        <v>0.3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3">
        <v>331</v>
      </c>
      <c r="AI886" s="3">
        <v>349</v>
      </c>
      <c r="AJ886" s="3">
        <v>8.1999999999999993</v>
      </c>
    </row>
    <row r="887" spans="1:57" s="1" customFormat="1" x14ac:dyDescent="0.2">
      <c r="A887" s="3" t="s">
        <v>760</v>
      </c>
      <c r="B887" s="1" t="s">
        <v>626</v>
      </c>
      <c r="C887" s="1">
        <v>96</v>
      </c>
      <c r="D887" s="1">
        <v>0</v>
      </c>
      <c r="E887" s="1">
        <v>0</v>
      </c>
      <c r="F887" s="1">
        <v>0</v>
      </c>
      <c r="G887" s="1">
        <v>0.8</v>
      </c>
      <c r="H887" s="1">
        <v>0</v>
      </c>
      <c r="I887" s="1">
        <v>2.83</v>
      </c>
      <c r="J887" s="1">
        <v>0</v>
      </c>
      <c r="K887" s="1">
        <v>0</v>
      </c>
      <c r="L887" s="1">
        <v>0</v>
      </c>
      <c r="M887" s="1">
        <v>0</v>
      </c>
      <c r="N887" s="1">
        <v>0.37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3">
        <v>171</v>
      </c>
      <c r="AI887" s="3">
        <v>290</v>
      </c>
      <c r="AJ887" s="3">
        <v>11</v>
      </c>
    </row>
    <row r="888" spans="1:57" s="1" customFormat="1" x14ac:dyDescent="0.2">
      <c r="A888" s="3" t="s">
        <v>761</v>
      </c>
      <c r="B888" s="1" t="s">
        <v>652</v>
      </c>
      <c r="C888" s="1">
        <v>97.7</v>
      </c>
      <c r="D888" s="1">
        <v>0</v>
      </c>
      <c r="E888" s="1">
        <v>0</v>
      </c>
      <c r="F888" s="1">
        <v>0</v>
      </c>
      <c r="G888" s="1">
        <v>2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0.3</v>
      </c>
      <c r="AG888" s="1">
        <v>0</v>
      </c>
      <c r="AH888" s="3">
        <v>185</v>
      </c>
      <c r="AI888" s="3">
        <v>258</v>
      </c>
      <c r="AJ888" s="3">
        <v>17.5</v>
      </c>
    </row>
    <row r="889" spans="1:57" s="1" customFormat="1" x14ac:dyDescent="0.2">
      <c r="A889" s="3" t="s">
        <v>762</v>
      </c>
      <c r="B889" s="1" t="s">
        <v>652</v>
      </c>
      <c r="C889" s="1">
        <v>96.7</v>
      </c>
      <c r="D889" s="1">
        <v>0</v>
      </c>
      <c r="E889" s="1">
        <v>0</v>
      </c>
      <c r="F889" s="1">
        <v>0</v>
      </c>
      <c r="G889" s="1">
        <v>2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0.3</v>
      </c>
      <c r="AG889" s="1">
        <v>0</v>
      </c>
      <c r="AH889" s="3">
        <v>257</v>
      </c>
      <c r="AI889" s="3">
        <v>298</v>
      </c>
      <c r="AJ889" s="3">
        <v>21.1</v>
      </c>
    </row>
    <row r="890" spans="1:57" s="1" customFormat="1" x14ac:dyDescent="0.2">
      <c r="A890" s="3" t="s">
        <v>763</v>
      </c>
      <c r="B890" s="1" t="s">
        <v>652</v>
      </c>
      <c r="C890" s="1">
        <v>95.7</v>
      </c>
      <c r="D890" s="1">
        <v>0</v>
      </c>
      <c r="E890" s="1">
        <v>0</v>
      </c>
      <c r="F890" s="1">
        <v>0</v>
      </c>
      <c r="G890" s="1">
        <v>2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2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0.3</v>
      </c>
      <c r="AG890" s="1">
        <v>0</v>
      </c>
      <c r="AH890" s="3">
        <v>312</v>
      </c>
      <c r="AI890" s="3">
        <v>333</v>
      </c>
      <c r="AJ890" s="3">
        <v>17</v>
      </c>
    </row>
    <row r="891" spans="1:57" s="1" customFormat="1" x14ac:dyDescent="0.2">
      <c r="A891" s="3" t="s">
        <v>261</v>
      </c>
      <c r="B891" s="1" t="s">
        <v>652</v>
      </c>
      <c r="C891" s="1">
        <v>93.9</v>
      </c>
      <c r="D891" s="1">
        <v>0</v>
      </c>
      <c r="E891" s="1">
        <v>0</v>
      </c>
      <c r="F891" s="1">
        <v>0</v>
      </c>
      <c r="G891" s="1">
        <v>5.54</v>
      </c>
      <c r="H891" s="1">
        <v>0</v>
      </c>
      <c r="I891" s="1">
        <v>0</v>
      </c>
      <c r="J891" s="1">
        <v>0</v>
      </c>
      <c r="K891" s="1">
        <v>0.56000000000000005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3">
        <v>255</v>
      </c>
      <c r="AI891" s="3">
        <v>354</v>
      </c>
      <c r="AJ891" s="3">
        <v>14</v>
      </c>
    </row>
    <row r="892" spans="1:57" s="1" customFormat="1" x14ac:dyDescent="0.2">
      <c r="A892" s="3" t="s">
        <v>570</v>
      </c>
      <c r="B892" s="1" t="s">
        <v>628</v>
      </c>
      <c r="C892" s="1">
        <v>100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3">
        <v>97.8</v>
      </c>
      <c r="AI892" s="3">
        <v>198.8</v>
      </c>
      <c r="AJ892" s="3">
        <v>15.7</v>
      </c>
    </row>
    <row r="893" spans="1:57" s="1" customFormat="1" x14ac:dyDescent="0.2">
      <c r="A893" s="3" t="s">
        <v>764</v>
      </c>
      <c r="B893" s="1" t="s">
        <v>626</v>
      </c>
      <c r="C893" s="1">
        <v>99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1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3">
        <v>204</v>
      </c>
      <c r="AI893" s="3">
        <v>234</v>
      </c>
      <c r="AJ893" s="3">
        <v>38.799999999999997</v>
      </c>
    </row>
    <row r="894" spans="1:57" s="1" customFormat="1" x14ac:dyDescent="0.2">
      <c r="A894" s="1" t="s">
        <v>493</v>
      </c>
      <c r="B894" s="1" t="s">
        <v>652</v>
      </c>
      <c r="C894" s="1">
        <v>99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148</v>
      </c>
      <c r="AI894" s="1">
        <v>200</v>
      </c>
      <c r="AJ894" s="1">
        <v>9.3000000000000007</v>
      </c>
    </row>
    <row r="895" spans="1:57" s="1" customFormat="1" x14ac:dyDescent="0.2">
      <c r="A895" s="1" t="s">
        <v>766</v>
      </c>
      <c r="B895" s="1" t="s">
        <v>485</v>
      </c>
      <c r="C895" s="1">
        <v>98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2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92</v>
      </c>
      <c r="AI895" s="1">
        <v>189</v>
      </c>
      <c r="AJ895" s="1">
        <v>21</v>
      </c>
    </row>
    <row r="896" spans="1:57" s="1" customFormat="1" x14ac:dyDescent="0.2">
      <c r="A896" s="1" t="s">
        <v>767</v>
      </c>
      <c r="B896" s="1" t="s">
        <v>485</v>
      </c>
      <c r="C896" s="1">
        <v>96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4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87</v>
      </c>
      <c r="AI896" s="1">
        <v>177</v>
      </c>
      <c r="AJ896" s="1">
        <v>30</v>
      </c>
    </row>
    <row r="897" spans="1:36" s="1" customFormat="1" x14ac:dyDescent="0.2">
      <c r="A897" s="1" t="s">
        <v>768</v>
      </c>
      <c r="B897" s="1" t="s">
        <v>485</v>
      </c>
      <c r="C897" s="1">
        <v>98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2</v>
      </c>
      <c r="AF897" s="1">
        <v>0</v>
      </c>
      <c r="AG897" s="1">
        <v>0</v>
      </c>
      <c r="AH897" s="1">
        <v>83</v>
      </c>
      <c r="AI897" s="1">
        <v>251</v>
      </c>
      <c r="AJ897" s="1">
        <v>19.600000000000001</v>
      </c>
    </row>
    <row r="898" spans="1:36" s="1" customFormat="1" x14ac:dyDescent="0.2">
      <c r="A898" s="1" t="s">
        <v>769</v>
      </c>
      <c r="B898" s="1" t="s">
        <v>485</v>
      </c>
      <c r="C898" s="1">
        <v>96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4</v>
      </c>
      <c r="AF898" s="1">
        <v>0</v>
      </c>
      <c r="AG898" s="1">
        <v>0</v>
      </c>
      <c r="AH898" s="1">
        <v>80</v>
      </c>
      <c r="AI898" s="1">
        <v>184</v>
      </c>
      <c r="AJ898" s="1">
        <v>28.4</v>
      </c>
    </row>
    <row r="899" spans="1:36" s="1" customFormat="1" x14ac:dyDescent="0.2">
      <c r="A899" s="3" t="s">
        <v>770</v>
      </c>
      <c r="B899" s="1" t="s">
        <v>485</v>
      </c>
      <c r="C899" s="1">
        <v>94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6</v>
      </c>
      <c r="AF899" s="1">
        <v>0</v>
      </c>
      <c r="AG899" s="1">
        <v>0</v>
      </c>
      <c r="AH899" s="3">
        <v>72</v>
      </c>
      <c r="AI899" s="3">
        <v>195</v>
      </c>
      <c r="AJ899" s="3">
        <v>29.4</v>
      </c>
    </row>
    <row r="900" spans="1:36" s="1" customFormat="1" x14ac:dyDescent="0.2">
      <c r="A900" s="1" t="s">
        <v>771</v>
      </c>
      <c r="B900" s="1" t="s">
        <v>485</v>
      </c>
      <c r="C900" s="1">
        <v>94.5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0.5</v>
      </c>
      <c r="L900" s="1">
        <v>0</v>
      </c>
      <c r="M900" s="1">
        <v>0</v>
      </c>
      <c r="N900" s="1">
        <v>0</v>
      </c>
      <c r="O900" s="1">
        <v>5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153</v>
      </c>
      <c r="AI900" s="1">
        <v>231</v>
      </c>
      <c r="AJ900" s="1">
        <v>29.1</v>
      </c>
    </row>
    <row r="901" spans="1:36" s="1" customFormat="1" x14ac:dyDescent="0.2">
      <c r="A901" s="1" t="s">
        <v>772</v>
      </c>
      <c r="B901" s="1" t="s">
        <v>485</v>
      </c>
      <c r="C901" s="1">
        <v>94</v>
      </c>
      <c r="D901" s="1">
        <v>0.5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0.5</v>
      </c>
      <c r="L901" s="1">
        <v>0</v>
      </c>
      <c r="M901" s="1">
        <v>0</v>
      </c>
      <c r="N901" s="1">
        <v>0</v>
      </c>
      <c r="O901" s="1">
        <v>5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185</v>
      </c>
      <c r="AI901" s="1">
        <v>256</v>
      </c>
      <c r="AJ901" s="1">
        <v>27.4</v>
      </c>
    </row>
    <row r="902" spans="1:36" s="1" customFormat="1" x14ac:dyDescent="0.2">
      <c r="A902" s="1" t="s">
        <v>773</v>
      </c>
      <c r="B902" s="1" t="s">
        <v>485</v>
      </c>
      <c r="C902" s="1">
        <v>93.5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0.5</v>
      </c>
      <c r="L902" s="1">
        <v>0</v>
      </c>
      <c r="M902" s="1">
        <v>0</v>
      </c>
      <c r="N902" s="1">
        <v>0</v>
      </c>
      <c r="O902" s="1">
        <v>5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216</v>
      </c>
      <c r="AI902" s="1">
        <v>273</v>
      </c>
      <c r="AJ902" s="1">
        <v>24.2</v>
      </c>
    </row>
    <row r="903" spans="1:36" s="1" customFormat="1" x14ac:dyDescent="0.2">
      <c r="A903" s="1" t="s">
        <v>774</v>
      </c>
      <c r="B903" s="1" t="s">
        <v>485</v>
      </c>
      <c r="C903" s="1">
        <v>91.9</v>
      </c>
      <c r="D903" s="1">
        <v>2.6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0.5</v>
      </c>
      <c r="L903" s="1">
        <v>0</v>
      </c>
      <c r="M903" s="1">
        <v>0</v>
      </c>
      <c r="N903" s="1">
        <v>0</v>
      </c>
      <c r="O903" s="1">
        <v>5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233</v>
      </c>
      <c r="AI903" s="1">
        <v>285</v>
      </c>
      <c r="AJ903" s="1">
        <v>4.7</v>
      </c>
    </row>
    <row r="904" spans="1:36" s="1" customFormat="1" x14ac:dyDescent="0.2">
      <c r="A904" s="17" t="s">
        <v>775</v>
      </c>
      <c r="B904" s="1" t="s">
        <v>625</v>
      </c>
      <c r="C904" s="1">
        <v>91.5</v>
      </c>
      <c r="D904" s="1">
        <v>2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0.5</v>
      </c>
      <c r="L904" s="1">
        <v>0</v>
      </c>
      <c r="M904" s="1">
        <v>0</v>
      </c>
      <c r="N904" s="1">
        <v>0</v>
      </c>
      <c r="O904" s="1">
        <v>0</v>
      </c>
      <c r="P904" s="1">
        <v>6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118</v>
      </c>
      <c r="AI904" s="1">
        <v>220</v>
      </c>
      <c r="AJ904" s="1">
        <v>17</v>
      </c>
    </row>
    <row r="905" spans="1:36" s="1" customFormat="1" x14ac:dyDescent="0.2">
      <c r="A905" s="1" t="s">
        <v>775</v>
      </c>
      <c r="B905" s="1" t="s">
        <v>625</v>
      </c>
      <c r="C905" s="1">
        <v>91.5</v>
      </c>
      <c r="D905" s="1">
        <v>2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0.5</v>
      </c>
      <c r="L905" s="1">
        <v>0</v>
      </c>
      <c r="M905" s="1">
        <v>0</v>
      </c>
      <c r="N905" s="1">
        <v>0</v>
      </c>
      <c r="O905" s="1">
        <v>0</v>
      </c>
      <c r="P905" s="1">
        <v>6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175</v>
      </c>
      <c r="AI905" s="1">
        <v>345</v>
      </c>
      <c r="AJ905" s="1">
        <v>7.5</v>
      </c>
    </row>
    <row r="906" spans="1:36" s="1" customFormat="1" x14ac:dyDescent="0.2">
      <c r="A906" s="1" t="s">
        <v>775</v>
      </c>
      <c r="B906" s="1" t="s">
        <v>625</v>
      </c>
      <c r="C906" s="1">
        <v>91.5</v>
      </c>
      <c r="D906" s="1">
        <v>2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0.5</v>
      </c>
      <c r="L906" s="1">
        <v>0</v>
      </c>
      <c r="M906" s="1">
        <v>0</v>
      </c>
      <c r="N906" s="1">
        <v>0</v>
      </c>
      <c r="O906" s="1">
        <v>0</v>
      </c>
      <c r="P906" s="1">
        <v>6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245</v>
      </c>
      <c r="AI906" s="1">
        <v>340</v>
      </c>
      <c r="AJ906" s="1">
        <v>7</v>
      </c>
    </row>
    <row r="907" spans="1:36" s="1" customFormat="1" x14ac:dyDescent="0.2">
      <c r="A907" s="1" t="s">
        <v>775</v>
      </c>
      <c r="B907" s="1" t="s">
        <v>625</v>
      </c>
      <c r="C907" s="1">
        <v>91.5</v>
      </c>
      <c r="D907" s="1">
        <v>2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0.5</v>
      </c>
      <c r="L907" s="1">
        <v>0</v>
      </c>
      <c r="M907" s="1">
        <v>0</v>
      </c>
      <c r="N907" s="1">
        <v>0</v>
      </c>
      <c r="O907" s="1">
        <v>0</v>
      </c>
      <c r="P907" s="1">
        <v>6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270</v>
      </c>
      <c r="AI907" s="1">
        <v>350</v>
      </c>
      <c r="AJ907" s="1">
        <v>4</v>
      </c>
    </row>
    <row r="908" spans="1:36" s="1" customFormat="1" x14ac:dyDescent="0.2">
      <c r="A908" s="1" t="s">
        <v>775</v>
      </c>
      <c r="B908" s="1" t="s">
        <v>485</v>
      </c>
      <c r="C908" s="1">
        <v>91.5</v>
      </c>
      <c r="D908" s="1">
        <v>2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0.5</v>
      </c>
      <c r="L908" s="1">
        <v>0</v>
      </c>
      <c r="M908" s="1">
        <v>0</v>
      </c>
      <c r="N908" s="1">
        <v>0</v>
      </c>
      <c r="O908" s="1">
        <v>0</v>
      </c>
      <c r="P908" s="1">
        <v>6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200</v>
      </c>
      <c r="AI908" s="1">
        <v>275</v>
      </c>
      <c r="AJ908" s="1">
        <v>21</v>
      </c>
    </row>
    <row r="909" spans="1:36" s="1" customFormat="1" x14ac:dyDescent="0.2">
      <c r="A909" s="1" t="s">
        <v>775</v>
      </c>
      <c r="B909" s="1" t="s">
        <v>485</v>
      </c>
      <c r="C909" s="1">
        <v>91.5</v>
      </c>
      <c r="D909" s="1">
        <v>2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0.5</v>
      </c>
      <c r="L909" s="1">
        <v>0</v>
      </c>
      <c r="M909" s="1">
        <v>0</v>
      </c>
      <c r="N909" s="1">
        <v>0</v>
      </c>
      <c r="O909" s="1">
        <v>0</v>
      </c>
      <c r="P909" s="1">
        <v>6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250</v>
      </c>
      <c r="AI909" s="1">
        <v>350</v>
      </c>
      <c r="AJ909" s="1">
        <v>8</v>
      </c>
    </row>
    <row r="910" spans="1:36" s="1" customFormat="1" x14ac:dyDescent="0.2">
      <c r="A910" s="1" t="s">
        <v>775</v>
      </c>
      <c r="B910" s="1" t="s">
        <v>485</v>
      </c>
      <c r="C910" s="1">
        <v>91.5</v>
      </c>
      <c r="D910" s="1">
        <v>2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0.5</v>
      </c>
      <c r="L910" s="1">
        <v>0</v>
      </c>
      <c r="M910" s="1">
        <v>0</v>
      </c>
      <c r="N910" s="1">
        <v>0</v>
      </c>
      <c r="O910" s="1">
        <v>0</v>
      </c>
      <c r="P910" s="1">
        <v>6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245</v>
      </c>
      <c r="AI910" s="1">
        <v>290</v>
      </c>
      <c r="AJ910" s="1">
        <v>29</v>
      </c>
    </row>
    <row r="911" spans="1:36" s="1" customFormat="1" x14ac:dyDescent="0.2">
      <c r="A911" s="1" t="s">
        <v>776</v>
      </c>
      <c r="B911" s="1" t="s">
        <v>485</v>
      </c>
      <c r="C911" s="1">
        <v>84.6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0.4</v>
      </c>
      <c r="L911" s="1">
        <v>0</v>
      </c>
      <c r="M911" s="1">
        <v>0</v>
      </c>
      <c r="N911" s="1">
        <v>0</v>
      </c>
      <c r="O911" s="1">
        <v>3</v>
      </c>
      <c r="P911" s="1">
        <v>12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187.3</v>
      </c>
      <c r="AI911" s="1">
        <v>282.5</v>
      </c>
      <c r="AJ911" s="1">
        <v>6.3</v>
      </c>
    </row>
    <row r="912" spans="1:36" s="1" customFormat="1" x14ac:dyDescent="0.2">
      <c r="A912" s="1" t="s">
        <v>776</v>
      </c>
      <c r="B912" s="1" t="s">
        <v>485</v>
      </c>
      <c r="C912" s="1">
        <v>84.6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0.4</v>
      </c>
      <c r="L912" s="1">
        <v>0</v>
      </c>
      <c r="M912" s="1">
        <v>0</v>
      </c>
      <c r="N912" s="1">
        <v>0</v>
      </c>
      <c r="O912" s="1">
        <v>3</v>
      </c>
      <c r="P912" s="1">
        <v>12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309.60000000000002</v>
      </c>
      <c r="AI912" s="1">
        <v>381.8</v>
      </c>
      <c r="AJ912" s="1">
        <v>4.4000000000000004</v>
      </c>
    </row>
    <row r="913" spans="1:36" s="1" customFormat="1" x14ac:dyDescent="0.2">
      <c r="A913" s="1" t="s">
        <v>776</v>
      </c>
      <c r="B913" s="1" t="s">
        <v>485</v>
      </c>
      <c r="C913" s="1">
        <v>84.6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0.4</v>
      </c>
      <c r="L913" s="1">
        <v>0</v>
      </c>
      <c r="M913" s="1">
        <v>0</v>
      </c>
      <c r="N913" s="1">
        <v>0</v>
      </c>
      <c r="O913" s="1">
        <v>3</v>
      </c>
      <c r="P913" s="1">
        <v>12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162</v>
      </c>
      <c r="AI913" s="1">
        <v>285.39999999999998</v>
      </c>
      <c r="AJ913" s="1">
        <v>10.9</v>
      </c>
    </row>
    <row r="914" spans="1:36" s="1" customFormat="1" x14ac:dyDescent="0.2">
      <c r="A914" s="1" t="s">
        <v>776</v>
      </c>
      <c r="B914" s="1" t="s">
        <v>485</v>
      </c>
      <c r="C914" s="1">
        <v>84.6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0.4</v>
      </c>
      <c r="L914" s="1">
        <v>0</v>
      </c>
      <c r="M914" s="1">
        <v>0</v>
      </c>
      <c r="N914" s="1">
        <v>0</v>
      </c>
      <c r="O914" s="1">
        <v>3</v>
      </c>
      <c r="P914" s="1">
        <v>12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141.80000000000001</v>
      </c>
      <c r="AI914" s="1">
        <v>252.8</v>
      </c>
      <c r="AJ914" s="1">
        <v>8.1</v>
      </c>
    </row>
    <row r="915" spans="1:36" s="1" customFormat="1" x14ac:dyDescent="0.2">
      <c r="A915" s="1" t="s">
        <v>777</v>
      </c>
      <c r="B915" s="1" t="s">
        <v>485</v>
      </c>
      <c r="C915" s="1">
        <v>84.4</v>
      </c>
      <c r="D915" s="1">
        <v>0</v>
      </c>
      <c r="E915" s="1">
        <v>0</v>
      </c>
      <c r="F915" s="1">
        <v>0</v>
      </c>
      <c r="G915" s="1">
        <v>2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0.6</v>
      </c>
      <c r="O915" s="1">
        <v>5</v>
      </c>
      <c r="P915" s="1">
        <v>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322</v>
      </c>
      <c r="AI915" s="1">
        <v>500</v>
      </c>
      <c r="AJ915" s="1">
        <v>10</v>
      </c>
    </row>
    <row r="916" spans="1:36" s="1" customFormat="1" x14ac:dyDescent="0.2">
      <c r="A916" s="1" t="s">
        <v>778</v>
      </c>
      <c r="B916" s="1" t="s">
        <v>485</v>
      </c>
      <c r="C916" s="1">
        <v>93.4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0.6</v>
      </c>
      <c r="L916" s="1">
        <v>0</v>
      </c>
      <c r="M916" s="1">
        <v>0</v>
      </c>
      <c r="N916" s="1">
        <v>0</v>
      </c>
      <c r="O916" s="1">
        <v>0</v>
      </c>
      <c r="P916" s="1">
        <v>6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145</v>
      </c>
      <c r="AI916" s="1">
        <v>206</v>
      </c>
      <c r="AJ916" s="1">
        <v>43.4</v>
      </c>
    </row>
    <row r="917" spans="1:36" s="1" customFormat="1" x14ac:dyDescent="0.2">
      <c r="A917" s="3" t="s">
        <v>760</v>
      </c>
      <c r="B917" s="1" t="s">
        <v>626</v>
      </c>
      <c r="C917" s="1">
        <v>96</v>
      </c>
      <c r="D917" s="1">
        <v>0</v>
      </c>
      <c r="E917" s="1">
        <v>0</v>
      </c>
      <c r="F917" s="1">
        <v>0</v>
      </c>
      <c r="G917" s="1">
        <v>0.8</v>
      </c>
      <c r="H917" s="1">
        <v>0</v>
      </c>
      <c r="I917" s="1">
        <v>2.83</v>
      </c>
      <c r="J917" s="1">
        <v>0</v>
      </c>
      <c r="K917" s="1">
        <v>0</v>
      </c>
      <c r="L917" s="1">
        <v>0</v>
      </c>
      <c r="M917" s="1">
        <v>0</v>
      </c>
      <c r="N917" s="1">
        <v>0.37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3">
        <v>178</v>
      </c>
      <c r="AI917" s="3">
        <v>267</v>
      </c>
      <c r="AJ917" s="3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Marzie Ghorbani</dc:creator>
  <cp:lastModifiedBy>Marzie Ghorbani</cp:lastModifiedBy>
  <dcterms:created xsi:type="dcterms:W3CDTF">2020-07-31T14:56:08Z</dcterms:created>
  <dcterms:modified xsi:type="dcterms:W3CDTF">2025-06-11T02:03:43Z</dcterms:modified>
</cp:coreProperties>
</file>